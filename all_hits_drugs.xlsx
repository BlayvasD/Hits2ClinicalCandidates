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t\Documents\UCSF\clinicalcandidates\"/>
    </mc:Choice>
  </mc:AlternateContent>
  <xr:revisionPtr revIDLastSave="0" documentId="13_ncr:1_{76291E62-9523-4CDB-B0A7-E33E1E924554}" xr6:coauthVersionLast="47" xr6:coauthVersionMax="47" xr10:uidLastSave="{00000000-0000-0000-0000-000000000000}"/>
  <bookViews>
    <workbookView xWindow="-108" yWindow="-108" windowWidth="30936" windowHeight="16776" xr2:uid="{654B6AD4-6A08-4AE1-99D4-78E97C786646}"/>
  </bookViews>
  <sheets>
    <sheet name="all_hits_dr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8" i="1" l="1"/>
  <c r="T68" i="1"/>
  <c r="R6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2" i="1"/>
</calcChain>
</file>

<file path=xl/sharedStrings.xml><?xml version="1.0" encoding="utf-8"?>
<sst xmlns="http://schemas.openxmlformats.org/spreadsheetml/2006/main" count="1748" uniqueCount="1164">
  <si>
    <t>paper</t>
  </si>
  <si>
    <t>clinical_candidate</t>
  </si>
  <si>
    <t>candidate_smiles</t>
  </si>
  <si>
    <t>hit</t>
  </si>
  <si>
    <t>hit_smiles</t>
  </si>
  <si>
    <t>target</t>
  </si>
  <si>
    <t>candidate_chembl_id</t>
  </si>
  <si>
    <t>disease_area</t>
  </si>
  <si>
    <t>entry</t>
  </si>
  <si>
    <t>hit_chembl_id</t>
  </si>
  <si>
    <t>method</t>
  </si>
  <si>
    <t>ref</t>
  </si>
  <si>
    <t>ref_dois</t>
  </si>
  <si>
    <t>root_name</t>
  </si>
  <si>
    <t>Brown_2018</t>
  </si>
  <si>
    <t>ABBV-075/mivebresib</t>
  </si>
  <si>
    <t>CCS(=O)(=O)Nc1ccc(Oc2ccc(F)cc2F)c(-c2cn(C)c(=O)c3[nH]ccc23)c1</t>
  </si>
  <si>
    <t>CHEMBL4068525</t>
  </si>
  <si>
    <t>CNc1cc(=O)n(C)nc1-c1ccccc1</t>
  </si>
  <si>
    <t>BRD4</t>
  </si>
  <si>
    <t>CHEMBL3987016</t>
  </si>
  <si>
    <t>oncology</t>
  </si>
  <si>
    <t>fragment_screen</t>
  </si>
  <si>
    <t>13,14</t>
  </si>
  <si>
    <t>10.1021/acs.jmedchem.7b00017;10.1021/acs.jmedchem.7b00746</t>
  </si>
  <si>
    <t>AZD5153</t>
  </si>
  <si>
    <t>COc1nnc2ccc(N3CCC(c4ccc(OCCN5CCN(C)C(=O)[C@H]5C)cc4)CC3)nn12</t>
  </si>
  <si>
    <t>AZD3514</t>
  </si>
  <si>
    <t>CC(=O)N1CCN(CCOc2ccc(C3CCN(C4=Nn5c(nnc5C(F)(F)F)CC4)CC3)cc2)CC1</t>
  </si>
  <si>
    <t>CHEMBL4078100</t>
  </si>
  <si>
    <t>CHEMBL2346976</t>
  </si>
  <si>
    <t>known</t>
  </si>
  <si>
    <t>10.1021/acs.jmedchem.6b00070</t>
  </si>
  <si>
    <t>CPI-0610</t>
  </si>
  <si>
    <t>Cc1noc2c1-c1ccccc1C(c1ccc(Cl)cc1)=N[C@H]2CC(N)=O</t>
  </si>
  <si>
    <t>CHEMBL2431088</t>
  </si>
  <si>
    <t>Cc1noc(N)c1-c1ccccc1</t>
  </si>
  <si>
    <t>CHEMBL4303404</t>
  </si>
  <si>
    <t>10.1021/acs.jmedchem.5b01882</t>
  </si>
  <si>
    <t>EOS200271/PF-06840003</t>
  </si>
  <si>
    <t>O=C1CC(c2c[nH]c3ccc(F)cc23)C(=O)N1</t>
  </si>
  <si>
    <t>CHEMBL1374439</t>
  </si>
  <si>
    <t>O=C1CC(c2c[nH]c3ccccc23)C(=O)N1</t>
  </si>
  <si>
    <t>IDO-1 inhibitor</t>
  </si>
  <si>
    <t>CHEMBL4086143</t>
  </si>
  <si>
    <t>random_screen</t>
  </si>
  <si>
    <t>10.1021/acs.jmedchem.7b00974</t>
  </si>
  <si>
    <t>PQR309</t>
  </si>
  <si>
    <t>Nc1cc(C(F)(F)F)c(-c2nc(N3CCOCC3)nc(N3CCOCC3)n2)cn1</t>
  </si>
  <si>
    <t>CHEMBL1910991</t>
  </si>
  <si>
    <t>FC(F)(F)c1nc2ccccc2n1-c1nc(N2CCOCC2)nc(N2CCOCC2)n1</t>
  </si>
  <si>
    <t>PI3K/mTOR</t>
  </si>
  <si>
    <t>CHEMBL4084907</t>
  </si>
  <si>
    <t>10.1021/acs.jmedchem.7b00930</t>
  </si>
  <si>
    <t>GDC-0032</t>
  </si>
  <si>
    <t>Cc1nc(-c2cn3c(n2)-c2ccc(-c4cnn(C(C)(C)C(N)=O)c4)cc2OCC3)n(C(C)C)n1</t>
  </si>
  <si>
    <t>CHEMBL3770332</t>
  </si>
  <si>
    <t>COC(=O)Nc1ccc2c(c1)OCCc1cc(-c3nncn3-c3ccccc3Cl)sc1-2</t>
  </si>
  <si>
    <t>PI3K</t>
  </si>
  <si>
    <t>CHEMBL2387080</t>
  </si>
  <si>
    <t>known/SBDD</t>
  </si>
  <si>
    <t>10.1021/acs.jmedchem.5b01483</t>
  </si>
  <si>
    <t>AA-115/APG-115</t>
  </si>
  <si>
    <t>CCN1[C@@H](C(=O)NC23CCC(C(=O)O)(CC2)CC3)[C@H](c2cccc(Cl)c2F)[C@]2(C(=O)Nc3cc(Cl)ccc32)C12CCCCC2</t>
  </si>
  <si>
    <t>CHEMBL378100</t>
  </si>
  <si>
    <t>CN(C)C(=O)[C@@H]1N[C@H](CC(C)(C)C)[C@]2(C(=O)Nc3cc(Cl)ccc32)[C@H]1c1cccc(Cl)c1</t>
  </si>
  <si>
    <t>MDM2</t>
  </si>
  <si>
    <t>CHEMBL4091801</t>
  </si>
  <si>
    <t>SBDD</t>
  </si>
  <si>
    <t>20,21,22</t>
  </si>
  <si>
    <t>10.1021/acs.jmedchem.6b01665;10.1021/jm501541j;10.1021/jm051122a</t>
  </si>
  <si>
    <t>PF-06747775</t>
  </si>
  <si>
    <t>C=CC(=O)N[C@@H]1CN(c2nc(Nc3cn(C)nc3OC)c3ncn(C)c3n2)C[C@H]1F</t>
  </si>
  <si>
    <t>CHEMBL4213400</t>
  </si>
  <si>
    <t>CC(C)C(CO)Nc1nc(Nc2ccc(N3CCNCC3)cc2)c2ncn(C(C)C)c2n1</t>
  </si>
  <si>
    <t>EGFR</t>
  </si>
  <si>
    <t>CHEMBL3989970</t>
  </si>
  <si>
    <t>directed_screen/SBDD</t>
  </si>
  <si>
    <t>10.1021/acs.jmedchem.6b01894</t>
  </si>
  <si>
    <t>EGF816/nazartinib</t>
  </si>
  <si>
    <t>Cc1cc(C(=O)Nc2nc3cccc(Cl)c3n2[C@@H]2CCCCN(C(=O)/C=C/CN(C)C)C2)ccn1</t>
  </si>
  <si>
    <t>CCOC1=CC2=C(C=C1)N([C@H]1CC[C@H](O)CC1)C(NC(=O)C1=CC=CC(=C1)C(F)(F)F)=N2</t>
  </si>
  <si>
    <t>CHEMBL3787344</t>
  </si>
  <si>
    <t>10.1021/acs.jmedchem.5b01985</t>
  </si>
  <si>
    <t>CH5183284/Debio1347</t>
  </si>
  <si>
    <t>Cc1nc2ccc(-n3ncc(C(=O)c4cc5ccccc5[nH]4)c3N)cc2[nH]1</t>
  </si>
  <si>
    <t>CHEMBL3905685</t>
  </si>
  <si>
    <t>Cc1cccc(C(=O)c2cnn(-c3cc(O)ccc3Cl)c2N)c1</t>
  </si>
  <si>
    <t>FGFR</t>
  </si>
  <si>
    <t>CHEMBL3907479</t>
  </si>
  <si>
    <t>10.1021/acs.jmedchem.6b01156</t>
  </si>
  <si>
    <t>PRN1371</t>
  </si>
  <si>
    <t>C=CC(=O)N1CCN(CCCn2c(=O)c(-c3c(Cl)c(OC)cc(OC)c3Cl)cc3cnc(NC)nc32)CC1</t>
  </si>
  <si>
    <t>CHEMBL57366</t>
  </si>
  <si>
    <t>CC(C)(C)NC(=O)Nc1nc2nc(N)ncc2cc1-c1c(Cl)cccc1Cl</t>
  </si>
  <si>
    <t>CHEMBL4068509</t>
  </si>
  <si>
    <t>26,27</t>
  </si>
  <si>
    <t>10.1021/acs.jmedchem.7b00360;10.1021/jm970367n</t>
  </si>
  <si>
    <t>PF-06821497</t>
  </si>
  <si>
    <t>COc1cc(C)[nH]c(=O)c1CN1CCc2c(Cl)cc([C@H](OC)C3COC3)c(Cl)c2C1=O</t>
  </si>
  <si>
    <t>CHEMBL3955846</t>
  </si>
  <si>
    <t>COc1cccc(C(=O)NCc2c(C)cc(C)[nH]c2=O)c1C</t>
  </si>
  <si>
    <t>EZH2</t>
  </si>
  <si>
    <t>CHEMBL4080228</t>
  </si>
  <si>
    <t>directed_screen</t>
  </si>
  <si>
    <t>28,29</t>
  </si>
  <si>
    <t>10.1021/acs.jmedchem.7b01375;10.1021/acs.jmedchem.6b00515</t>
  </si>
  <si>
    <t>CPI-1205</t>
  </si>
  <si>
    <t>COc1cc(C)[nH]c(=O)c1CNC(=O)c1c(C)n([C@H](C)C2CCN(CC(F)(F)F)CC2)c2ccccc12</t>
  </si>
  <si>
    <t>CHEMBL3605438</t>
  </si>
  <si>
    <t>COc1cc(C(=O)NCc2c(C)cc(C)[nH]c2=O)cc2c1OCCO2</t>
  </si>
  <si>
    <t>CHEMBL4297463</t>
  </si>
  <si>
    <t>random_screen/known</t>
  </si>
  <si>
    <t>30,31</t>
  </si>
  <si>
    <t>10.1021/acs.jmedchem.6b01315;10.1016/j.bmcl.2015.06.056</t>
  </si>
  <si>
    <t>CEP-37440</t>
  </si>
  <si>
    <t>CNC(=O)c1ccccc1Nc1nc(Nc2ccc3c(c2OC)CCC[C@H](N2CCN(CCO)CC2)C3)ncc1Cl</t>
  </si>
  <si>
    <t>CHEMBL1644799</t>
  </si>
  <si>
    <t>CNC(=O)c1ccccc1Nc1nc(Nc2ccc3c(c2)CCCC(=O)N3C)ncc1Cl</t>
  </si>
  <si>
    <t>FAK/ALK</t>
  </si>
  <si>
    <t>CHEMBL3951811</t>
  </si>
  <si>
    <t>32,33</t>
  </si>
  <si>
    <t>10.1021/acs.jmedchem.6b00487;10.1021/ml100158s</t>
  </si>
  <si>
    <t>brigatinib/AP26113</t>
  </si>
  <si>
    <t>COc1cc(N2CCC(N3CCN(C)CC3)CC2)ccc1Nc1ncc(Cl)c(Nc2ccccc2P(C)(C)=O)n1</t>
  </si>
  <si>
    <t>CHEMBL3822973</t>
  </si>
  <si>
    <t>COc1ccccc1Nc1ncc(Cl)c(Nc2ccccc2S(=O)(=O)C(C)C)n1</t>
  </si>
  <si>
    <t>ALK</t>
  </si>
  <si>
    <t>CHEMBL3545311</t>
  </si>
  <si>
    <t>10.1021/acs.jmedchem.6b00306</t>
  </si>
  <si>
    <t>Entrectinib</t>
  </si>
  <si>
    <t>CN1CCN(c2ccc(C(=O)Nc3n[nH]c4ccc(Cc5cc(F)cc(F)c5)cc34)c(NC3CCOCC3)c2)CC1</t>
  </si>
  <si>
    <t>CHEMBL3672894</t>
  </si>
  <si>
    <t>CN1CCN(c2ccc(C(=O)Nc3n[nH]c4ccc(Cc5cc(F)cc(F)c5)cc34)cc2)CC1</t>
  </si>
  <si>
    <t>ALK/ROS1/Pan-TRK</t>
  </si>
  <si>
    <t>CHEMBL1983268</t>
  </si>
  <si>
    <t>10.1021/acs.jmedchem.6b00064</t>
  </si>
  <si>
    <t>SAR125844</t>
  </si>
  <si>
    <t>O=C(NCCN1CCOCC1)Nc1nc2ccc(Sc3nnc4ccc(-c5ccc(F)cc5)nn34)cc2s1</t>
  </si>
  <si>
    <t>CHEMBL4448572</t>
  </si>
  <si>
    <t>COCCNC(=O)Nc1nc2cc(OS(=O)(=O)c3c(F)cccc3F)ccc2[nH]1</t>
  </si>
  <si>
    <t>MET</t>
  </si>
  <si>
    <t>CHEMBL4461070</t>
  </si>
  <si>
    <t>10.1021/acs.jmedchem.6b00280</t>
  </si>
  <si>
    <t>AMG 337</t>
  </si>
  <si>
    <t>COCCOc1cnc2ccn([C@H](C)c3nnc4c(F)cc(-c5cnn(C)c5)cn34)c(=O)c2c1</t>
  </si>
  <si>
    <t>CHEMBL494979</t>
  </si>
  <si>
    <t>COc1ccc2c(OCc3nnc4ccc(-c5cc(F)c(F)c(F)c5)nn34)ccnc2c1</t>
  </si>
  <si>
    <t>CHEMBL3785909</t>
  </si>
  <si>
    <t>10.1021/acs.jmedchem.5b01716</t>
  </si>
  <si>
    <t>GDC-0994</t>
  </si>
  <si>
    <t>Cn1nccc1Nc1nccc(-c2ccn([C@H](CO)c3ccc(Cl)c(F)c3)c(=O)c2)n1</t>
  </si>
  <si>
    <t>CHEMBL3298565</t>
  </si>
  <si>
    <t>COc1ccc(CNC(=O)N2CCc3cnc(NC(C)C)nc3C2)cc1</t>
  </si>
  <si>
    <t>ERK</t>
  </si>
  <si>
    <t>CHEMBL3544964</t>
  </si>
  <si>
    <t>38,39</t>
  </si>
  <si>
    <t>10.1021/acs.jmedchem.6b00389;10.1016/j.bmcl.2014.04.068</t>
  </si>
  <si>
    <t>talazoparib/BMN 673</t>
  </si>
  <si>
    <t>Cn1ncnc1[C@H]1c2n[nH]c(=O)c3cc(F)cc(c23)N[C@@H]1c1ccc(F)cc1</t>
  </si>
  <si>
    <t>CHEMBL3763589</t>
  </si>
  <si>
    <t>O=c1[nH]nc2c3c(cccc13)NC(c1ccccc1)C2c1ccccc1</t>
  </si>
  <si>
    <t>PARP</t>
  </si>
  <si>
    <t>CHEMBL3137320</t>
  </si>
  <si>
    <t>10.1021/acs.jmedchem.5b01498</t>
  </si>
  <si>
    <t>vibegron</t>
  </si>
  <si>
    <t>O=C(Nc1ccc(C[C@@H]2CC[C@H]([C@H](O)c3ccccc3)N2)cc1)[C@@H]1CCc2nccc(=O)n21</t>
  </si>
  <si>
    <t>CHEMBL1684585</t>
  </si>
  <si>
    <t>Nc1nc(CC(=O)Nc2ccc(C[C@@H]3CC[C@H]([C@H](O)c4ccccc4)N3)cc2)cs1</t>
  </si>
  <si>
    <t>Î²3 adrenergic receptor</t>
  </si>
  <si>
    <t>CHEMBL2107826</t>
  </si>
  <si>
    <t>urinary</t>
  </si>
  <si>
    <t>10.1021/acs.jmedchem.5b01372</t>
  </si>
  <si>
    <t>TAK-259</t>
  </si>
  <si>
    <t>CS(=O)(=O)c1ccc(Cl)cc1Cn1cc(Cl)cc(C(N)=O)c1=N</t>
  </si>
  <si>
    <t>CHEMBL3797529</t>
  </si>
  <si>
    <t>N=c1c(C(N)=O)cc(Cl)cn1Cc1ccccc1</t>
  </si>
  <si>
    <t>alpha1d</t>
  </si>
  <si>
    <t>CHEMBL3799553</t>
  </si>
  <si>
    <t>10.1021/acs.jmedchem.5b01528</t>
  </si>
  <si>
    <t>LJN452</t>
  </si>
  <si>
    <t>O=C(O)c1cc(F)c2nc(N3[C@@H]4CC[C@H]3C[C@@H](OCc3c(-c5ccccc5OC(F)(F)F)noc3C3CC3)C4)sc2c1</t>
  </si>
  <si>
    <t>CHEMBL3746388</t>
  </si>
  <si>
    <t>Cn1cc(C(=O)O)c2ccc(N3CCC(OCc4c(-c5c(Cl)cccc5Cl)noc4C4CC4)CC3)cc21</t>
  </si>
  <si>
    <t>FXR agonist</t>
  </si>
  <si>
    <t>CHEMBL4298169</t>
  </si>
  <si>
    <t>liver disease</t>
  </si>
  <si>
    <t>43,44</t>
  </si>
  <si>
    <t>10.1021/acs.jmedchem.7b00907;10.1021/acs.jmedchem.5b01161</t>
  </si>
  <si>
    <t>BMS-816336</t>
  </si>
  <si>
    <t>O=C(CC1(c2ccccc2)C2CC3CC1CC(C2)C3O)N1CC(O)C1</t>
  </si>
  <si>
    <t>CHEMBL1911387</t>
  </si>
  <si>
    <t>O=C(O)CC1C2CC3CC(C2)CC1C3</t>
  </si>
  <si>
    <t>11Î²-HSD1</t>
  </si>
  <si>
    <t>CHEMBL4086816</t>
  </si>
  <si>
    <t>diabetes</t>
  </si>
  <si>
    <t>45,46</t>
  </si>
  <si>
    <t>10.1016/j.bmcl.2011.09.055;10.1021/acs.jmedchem.7b00211</t>
  </si>
  <si>
    <t>LY3104607</t>
  </si>
  <si>
    <t>CC#C[C@@H](CC(=O)O)c1ccc(OCc2ccc3nc(-c4c(C)cccc4C)nn3c2)cc1</t>
  </si>
  <si>
    <t>CHEMBL4783190</t>
  </si>
  <si>
    <t>O=C(O)CCc1ccc(OCc2ccc(CN3CCC4(C=Cc5ccccc54)CC3)cc2)cc1F</t>
  </si>
  <si>
    <t>GPR40</t>
  </si>
  <si>
    <t>CHEMBL3927519</t>
  </si>
  <si>
    <t>47,48</t>
  </si>
  <si>
    <t>10.1021/acs.jmedchem.7b01411;10.1021/acs.jmedchem.6b00892</t>
  </si>
  <si>
    <t>PF-06409577</t>
  </si>
  <si>
    <t>O=C(O)c1c[nH]c2cc(Cl)c(-c3ccc(C4(O)CCC4)cc3)cc12</t>
  </si>
  <si>
    <t>COC1=CC2=C(C=C1)NN=C2C(=O)N[C@H](CO)C3=CC=CC=C3</t>
  </si>
  <si>
    <t>AMPK</t>
  </si>
  <si>
    <t>CHEMBL3891221</t>
  </si>
  <si>
    <t>diabetes/nephropathy</t>
  </si>
  <si>
    <t>10.1021/acs.jmedchem.6b00866</t>
  </si>
  <si>
    <t>CHEMBL4074410</t>
  </si>
  <si>
    <t>COc1ccc(-c2nnc(-c3ccc4nc(-c5c(C)cc(CC(C)(C)C(=O)O)cc5C)[nH]c4c3)o2)cc1</t>
  </si>
  <si>
    <t>CHEMBL2063278</t>
  </si>
  <si>
    <t>CCOC(=O)Nc1ccc2nc(-c3c(Cl)cccc3Cl)[nH]c2c1</t>
  </si>
  <si>
    <t>DGAT1</t>
  </si>
  <si>
    <t>obesity</t>
  </si>
  <si>
    <t>50,51</t>
  </si>
  <si>
    <t>10.1021/acs.jmedchem.7b00173;10.1021/ml3000512</t>
  </si>
  <si>
    <t>AZD1979</t>
  </si>
  <si>
    <t>COc1ccc(-c2nnc(C(=O)N3CC(Oc4ccc(CN5CC6(COC6)C5)cc4)C3)o2)cc1</t>
  </si>
  <si>
    <t>CHEMBL3786375</t>
  </si>
  <si>
    <t>O=C(c1nnc(-c2ccc(Cl)cc2)o1)N1CCC(Oc2ccc(CN3CCCC3)cc2)CC1</t>
  </si>
  <si>
    <t>MCHr1</t>
  </si>
  <si>
    <t>CHEMBL3787394</t>
  </si>
  <si>
    <t>10.1021/acs.jmedchem.5b01654</t>
  </si>
  <si>
    <t>BMS-962212</t>
  </si>
  <si>
    <t>CN1CCN(c2cccc3c2CCN(C(=O)/C=C/c2c(-n4cnnn4)ccc(Cl)c2F)[C@@H]3C(=O)Nc2ccc(C(=O)O)cc2)C(=O)C1</t>
  </si>
  <si>
    <t>CHEMBL3754069</t>
  </si>
  <si>
    <t>O=C(/C=C/c1cc(Cl)ccc1-n1cnnn1)N[C@@H](Cc1ccccc1)C(=O)Nc1ccc(C(=O)O)cc1</t>
  </si>
  <si>
    <t>Factor X1a inhibitor</t>
  </si>
  <si>
    <t>CHEMBL4073292</t>
  </si>
  <si>
    <t>anticoagulant</t>
  </si>
  <si>
    <t>10.1021/acs.jmedchem.7b01171</t>
  </si>
  <si>
    <t>MK-8617</t>
  </si>
  <si>
    <t>COc1ccc(C(NC(=O)c2cnc(-c3cccnn3)nc2O)c2ccc(OC)cc2)cc1</t>
  </si>
  <si>
    <t>CHEMBL4794308</t>
  </si>
  <si>
    <t>O=C(NCc1ccc(F)cc1)c1cnc(-c2ccccn2)nc1O</t>
  </si>
  <si>
    <t>HIF/PHD1-3</t>
  </si>
  <si>
    <t>CHEMBL4783524</t>
  </si>
  <si>
    <t>anemia</t>
  </si>
  <si>
    <t>10.1021/acs.jmedchem.6b01242</t>
  </si>
  <si>
    <t>GLPG1690</t>
  </si>
  <si>
    <t>CCc1nc2c(C)cc(N3CCN(CC(=O)N4CC(O)C4)CC3)cn2c1N(C)c1nc(-c2ccc(F)cc2)c(C#N)s1</t>
  </si>
  <si>
    <t>CHEMBL4084750</t>
  </si>
  <si>
    <t>CCc1nc2ccc(C(=O)NCCO)cn2c1N(C)c1nc(-c2ccc(Cl)cc2)cs1</t>
  </si>
  <si>
    <t>ATX</t>
  </si>
  <si>
    <t>CHEMBL3828074</t>
  </si>
  <si>
    <t>IPF</t>
  </si>
  <si>
    <t>55,56</t>
  </si>
  <si>
    <t>10.1021/acs.jmedchem.7b00032;10.1021/acs.jmedchem.7b00647</t>
  </si>
  <si>
    <t>AZD7986</t>
  </si>
  <si>
    <t>Cn1c(=O)oc2ccc(-c3ccc(C[C@@H](C#N)NC(=O)[C@@H]4CNCCCO4)cc3)cc21</t>
  </si>
  <si>
    <t>CHEMBL3898680</t>
  </si>
  <si>
    <t>N#Cc1cccc(-c2ccc(C[C@@H](C#N)NC(=O)C3CCCCC3N)cc2)c1</t>
  </si>
  <si>
    <t>DPP1</t>
  </si>
  <si>
    <t>CHEMBL3900409</t>
  </si>
  <si>
    <t>COPD</t>
  </si>
  <si>
    <t>10.1021/acs.jmedchem.6b01127</t>
  </si>
  <si>
    <t>GSK2245035</t>
  </si>
  <si>
    <t>CCC[C@H](C)Oc1nc(N)c2[nH]c(=O)n(CCCCCN3CCCCC3)c2n1</t>
  </si>
  <si>
    <t>CHEMBL150961</t>
  </si>
  <si>
    <t>CCCCOc1nc(N)c2[nH]c(=O)n(Cc3ccccc3)c2n1</t>
  </si>
  <si>
    <t>TLR7</t>
  </si>
  <si>
    <t>CHEMBL4297492</t>
  </si>
  <si>
    <t>asthma</t>
  </si>
  <si>
    <t>10.1021/acs.jmedchem.5b01647</t>
  </si>
  <si>
    <t>GS-6615</t>
  </si>
  <si>
    <t>O=C1c2cc(-c3ccc(OC(F)(F)F)cc3)ccc2OCCN1Cc1ncccn1</t>
  </si>
  <si>
    <t>CHEMBL3809761</t>
  </si>
  <si>
    <t>Cc1cc(NS(C)(=O)=O)ccc1-c1ccc(Oc2ccccc2)cc1</t>
  </si>
  <si>
    <t>CHEMBL3707392</t>
  </si>
  <si>
    <t>cardiovascular</t>
  </si>
  <si>
    <t>59,60</t>
  </si>
  <si>
    <t>10.1021/acs.jmedchem.6b00939;10.1016/j.bmcl.2016.03.101</t>
  </si>
  <si>
    <t>CHEMBL4094440</t>
  </si>
  <si>
    <t>NS(=O)(=O)c1cncc(-c2nc(NCc3ccccn3)c3c(-c4ccccc4)cccc3n2)c1</t>
  </si>
  <si>
    <t>CHEMBL4483629</t>
  </si>
  <si>
    <t>Clc1nc(NCc2ccccn2)c2c(-c3ccccc3)cccc2n1</t>
  </si>
  <si>
    <t>atrial fibrillation</t>
  </si>
  <si>
    <t>61,62</t>
  </si>
  <si>
    <t>10.1021/acs.jmedchem.6b01889;10.1021/acsmedchemlett.6b00117</t>
  </si>
  <si>
    <t>ralinepag</t>
  </si>
  <si>
    <t>O=C(O)COC[C@H]1CC[C@H](COC(=O)N(c2ccccc2)c2ccc(Cl)cc2)CC1</t>
  </si>
  <si>
    <t>OC(=O)COC1=CC=CC2=C1CC[C@H](CN1N=CC(C3=C(F)C(F)=CC=C3)=C(C1=O)C1=CC=C(F)C=C1)C2</t>
  </si>
  <si>
    <t>IP receptor</t>
  </si>
  <si>
    <t>CHEMBL3301604</t>
  </si>
  <si>
    <t>pulmonary arterial hypertension</t>
  </si>
  <si>
    <t>10.1021/acs.jmedchem.6b00871</t>
  </si>
  <si>
    <t>CHEMBL4091152</t>
  </si>
  <si>
    <t>C[C@@H](Oc1cc2onc(CCC(=O)O)c2cc1Cl)c1ccccn1</t>
  </si>
  <si>
    <t>CHEMBL4092205</t>
  </si>
  <si>
    <t>O=C(O)CCn1c(=O)oc2cc(Cl)c(Cl)cc21</t>
  </si>
  <si>
    <t>KMO</t>
  </si>
  <si>
    <t>acute pancreatitis</t>
  </si>
  <si>
    <t>10.1021/acs.jmedchem.7b00055</t>
  </si>
  <si>
    <t>CORT125134</t>
  </si>
  <si>
    <t>Cn1cc(S(=O)(=O)N2CCC3=Cc4c(cnn4-c4ccc(F)cc4)C[C@]3(C(=O)c3cc(C(F)(F)F)ccn3)C2)cn1</t>
  </si>
  <si>
    <t>CHEMBL393061</t>
  </si>
  <si>
    <t>O=C1C=C2CCN(S(=O)(=O)c3ccccc3)CC2(Cc2ccccc2)CC1</t>
  </si>
  <si>
    <t>GR antagonist</t>
  </si>
  <si>
    <t>CHEMBL4068611</t>
  </si>
  <si>
    <t>cushings syndrome</t>
  </si>
  <si>
    <t>65,66</t>
  </si>
  <si>
    <t>10.1021/acs.jmedchem.7b00162;10.1016/j.bmcl.2007.07.055</t>
  </si>
  <si>
    <t>TAK-915</t>
  </si>
  <si>
    <t>COC[C@@H](NC(=O)N1CC(=O)Nc2cc(OC)cnc21)c1ccc(OC(F)(F)F)c(F)c1</t>
  </si>
  <si>
    <t>CHEMBL4076518</t>
  </si>
  <si>
    <t>CCC(NC(=O)c1cnn2cccnc12)c1ccc(OC)cc1</t>
  </si>
  <si>
    <t>phospho-diesterase 2A</t>
  </si>
  <si>
    <t>CHEMBL4060569</t>
  </si>
  <si>
    <t>Cognitive disorders</t>
  </si>
  <si>
    <t>67,68</t>
  </si>
  <si>
    <t>10.1021/acs.jmedchem.7b00709;10.1021/acs.jmedchem.7b00807</t>
  </si>
  <si>
    <t>ITI-214</t>
  </si>
  <si>
    <t>CN1C(=O)c2c(nn(Cc3ccc(-c4cccc(F)n4)cc3)c2Nc2ccccc2)N2C1=N[C@@H]1CCC[C@@H]12</t>
  </si>
  <si>
    <t>CHEMBL140173</t>
  </si>
  <si>
    <t>CN1C(=O)c2c(nn(C)c2Cc2ccccc2)N2C1=N[C@@H]1CCC[C@@H]12</t>
  </si>
  <si>
    <t>phospho-diesterase 1A</t>
  </si>
  <si>
    <t>CHEMBL3769414</t>
  </si>
  <si>
    <t>69,70</t>
  </si>
  <si>
    <t>10.1021/acs.jmedchem.5b01751;10.1021/jm970495b</t>
  </si>
  <si>
    <t>SUVN-502</t>
  </si>
  <si>
    <t>COc1ccc2c(c1)c(CN1CCN(C)CC1)cn2S(=O)(=O)c1ccccc1Br</t>
  </si>
  <si>
    <t>CHEMBL76237</t>
  </si>
  <si>
    <t>COc1ccc2c(c1)c(CCN(C)C)cn2S(=O)(=O)c1ccccc1</t>
  </si>
  <si>
    <t>5HT6</t>
  </si>
  <si>
    <t>CHEMBL4117187</t>
  </si>
  <si>
    <t>alzheimers disease</t>
  </si>
  <si>
    <t>10.1021/acs.jmedchem.6b01662</t>
  </si>
  <si>
    <t>verubecestat/MK-8931</t>
  </si>
  <si>
    <t>CN1C(N)=N[C@](C)(c2cc(NC(=O)c3ccc(F)cn3)ccc2F)CS1(=O)=O</t>
  </si>
  <si>
    <t>CHEMBL568966</t>
  </si>
  <si>
    <t>CCCCOc1ccc(CSC(=N)N)cc1Cl</t>
  </si>
  <si>
    <t>BACE</t>
  </si>
  <si>
    <t>CHEMBL3301601</t>
  </si>
  <si>
    <t>10.1021/acs.jmedchem.6b00307</t>
  </si>
  <si>
    <t>SAGE-217</t>
  </si>
  <si>
    <t>C[C@@]1(O)CC[C@H]2[C@H](CC[C@@H]3[C@@H]2CC[C@]2(C)[C@@H](C(=O)Cn4cc(C#N)cn4)CC[C@@H]32)C1</t>
  </si>
  <si>
    <t>CHEMBL207538</t>
  </si>
  <si>
    <t>CC(=O)[C@H]1CC[C@H]2[C@@H]3CC[C@H]4C[C@H](O)CC[C@]4(C)[C@H]3CC[C@]12C</t>
  </si>
  <si>
    <t>GABA-A modulator</t>
  </si>
  <si>
    <t>CHEMBL4105630</t>
  </si>
  <si>
    <t>depression</t>
  </si>
  <si>
    <t>10.1021/acs.jmedchem.7b00846</t>
  </si>
  <si>
    <t>CHEMBL2325014</t>
  </si>
  <si>
    <t>Nc1[nH]ncc1-c1cc(Cl)ccc1Oc1cc(F)c(S(=O)(=O)Nc2cscn2)cc1Cl</t>
  </si>
  <si>
    <t>CHEMBL2326767</t>
  </si>
  <si>
    <t>Cn1nccc1-c1ccccc1Oc1ccc(S(=O)(=O)Nc2cscn2)cc1C#N</t>
  </si>
  <si>
    <t>NaV1.7</t>
  </si>
  <si>
    <t>Pain</t>
  </si>
  <si>
    <t>10.1021/acs.jmedchem.7b00598</t>
  </si>
  <si>
    <t>PF-06273340</t>
  </si>
  <si>
    <t>CC(C)(CO)n1cc(C(=O)c2cncc(NC(=O)Cc3ccc(Cl)cn3)c2)c2cnc(N)nc21</t>
  </si>
  <si>
    <t>CHEMBL4744936</t>
  </si>
  <si>
    <t>CC(C)n1cc(C(=O)c2ccnc(NC(=O)Nc3ccc(F)cc3F)c2)c2c(N)ncnc21</t>
  </si>
  <si>
    <t>TrkA</t>
  </si>
  <si>
    <t>CHEMBL4212531</t>
  </si>
  <si>
    <t>10.1021/acs.jmedchem.6b00850</t>
  </si>
  <si>
    <t>VU0424238/Auglurant</t>
  </si>
  <si>
    <t>Cc1cc(Oc2cncnc2)cc(C(=O)Nc2ccc(F)cn2)n1</t>
  </si>
  <si>
    <t>CHEMBL2440641</t>
  </si>
  <si>
    <t>Nc1cc(NC(=O)c2cccc(Cl)c2)cc(Oc2cccnc2)c1</t>
  </si>
  <si>
    <t>mGluR5</t>
  </si>
  <si>
    <t>CHEMBL2386850</t>
  </si>
  <si>
    <t>mood disorders</t>
  </si>
  <si>
    <t>76,77</t>
  </si>
  <si>
    <t>10.1021/acs.jmedchem.7b00410;10.1016/j.bmcl.2013.09.001</t>
  </si>
  <si>
    <t>JNJ-54175446</t>
  </si>
  <si>
    <t>C[C@@H]1c2nnn(-c3ncc(F)cn3)c2CCN1C(=O)c1cccc(C(F)(F)F)c1Cl</t>
  </si>
  <si>
    <t>CHEMBL2218113</t>
  </si>
  <si>
    <t>O=C(c1cccc(Cl)c1Cl)N1CCn2c(nnc2-c2cnccn2)C1</t>
  </si>
  <si>
    <t>P2X7</t>
  </si>
  <si>
    <t>CHEMBL4079239</t>
  </si>
  <si>
    <t>77,79,80</t>
  </si>
  <si>
    <t>10.1016/j.bmcl.2013.09.001;10.1021/acs.jmedchem.7b00408</t>
  </si>
  <si>
    <t>CHEMBL3914857</t>
  </si>
  <si>
    <t>C[C@H]1Cc2c(nnn2-c2ncc(F)cn2)CN1C(=O)c1ccnc(C(F)(F)F)c1F</t>
  </si>
  <si>
    <t>81,82</t>
  </si>
  <si>
    <t>10.1016/j.bmcl.2016.06.048;10.1021/acs.jmedchem.7b01279</t>
  </si>
  <si>
    <t>RG7800</t>
  </si>
  <si>
    <t>CCc1nc(C)cn2nc(-c3cc(=O)n4cc(C5CCN(C)CC5)cc(C)c4n3)cc12</t>
  </si>
  <si>
    <t>CHEMBL210065</t>
  </si>
  <si>
    <t>CCN(CC)c1ccc2cc(-c3nc4ccccc4o3)c(=O)oc2c1</t>
  </si>
  <si>
    <t>SMN2</t>
  </si>
  <si>
    <t>CHEMBL4459971</t>
  </si>
  <si>
    <t>spinal muscular atrophy</t>
  </si>
  <si>
    <t>83,84,85</t>
  </si>
  <si>
    <t>10.1021/acs.jmedchem.6b00459;10.1126/science.1250127;10.1021/acs.jmedchem.6b00460</t>
  </si>
  <si>
    <t>ceralifimod/ONO-4641</t>
  </si>
  <si>
    <t>CCCc1ccc(COc2ccc3c(c2)CCC(CN2CC(C(=O)O)C2)=C3C)c(OC)c1</t>
  </si>
  <si>
    <t>C1=CC=C(C=C1)CCOC2=CC=C(C=C2)CCCNCCC(=O)O</t>
  </si>
  <si>
    <t>S1P1</t>
  </si>
  <si>
    <t>CHEMBL4093489</t>
  </si>
  <si>
    <t>autoimmune disease</t>
  </si>
  <si>
    <t>10.1021/acs.jmedchem.7b00785</t>
  </si>
  <si>
    <t>ACT-709478</t>
  </si>
  <si>
    <t>N#Cc1ccc(Cn2ccc(NC(=O)Cc3ccc(C4(C(F)(F)F)CC4)cc3)n2)nc1</t>
  </si>
  <si>
    <t>CHEMBL4212371</t>
  </si>
  <si>
    <t>O=C(NCc1ccccc1OCC(F)(F)F)c1cc(-c2ccccc2)n(-c2ccccc2)n1</t>
  </si>
  <si>
    <t>T-type calcium channel blocker</t>
  </si>
  <si>
    <t>CHEMBL4217292</t>
  </si>
  <si>
    <t>epilepsy</t>
  </si>
  <si>
    <t>87,88</t>
  </si>
  <si>
    <t>10.1016/j.bmcl.2017.09.063;10.1021/acs.jmedchem.7b01236</t>
  </si>
  <si>
    <t>BMS-929075</t>
  </si>
  <si>
    <t>CNC(=O)c1c(-c2ccc(F)cc2)oc2ccc(-c3cc(C(=O)NC4(c5ncccn5)CC4)ccc3C)c(F)c12</t>
  </si>
  <si>
    <t>CHEMBL4064415</t>
  </si>
  <si>
    <t>CNC(=O)c1c(-c2ccc(F)cc2)oc2ccc(OC(C)C)cc12</t>
  </si>
  <si>
    <t>NSB5 replicase</t>
  </si>
  <si>
    <t>CHEMBL4093031</t>
  </si>
  <si>
    <t xml:space="preserve"> Hepatitis C</t>
  </si>
  <si>
    <t>random_screen/known/SBDD</t>
  </si>
  <si>
    <t>10.1021/acs.jmedchem.7b00328</t>
  </si>
  <si>
    <t>ruzasvir</t>
  </si>
  <si>
    <t>COC(=O)N[C@H](C(=O)N1CCC[C@H]1c1ncc(-c2cc(F)c3c(c2)O[C@@H](c2cnc(C4CC4)s2)n2c-3cc3cc(-c4cnc([C@@H]5CCCN5C(=O)[C@@H](NC(=O)OC)C(C)C)[nH]4)ccc32)[nH]1)C(C)C</t>
  </si>
  <si>
    <t>CHEMBL474355</t>
  </si>
  <si>
    <t>CC(C)(C)OC(=O)N1CCN(c2ccc(C(=O)Nc3ccc(/C=C/c4ccc(O)cc4)cc3)cc2)CC1</t>
  </si>
  <si>
    <t>NS5A</t>
  </si>
  <si>
    <t>CHEMBL3971095</t>
  </si>
  <si>
    <t>antiviral</t>
  </si>
  <si>
    <t>90,91,92</t>
  </si>
  <si>
    <t>10.1021/acs.jmedchem.6b01310;10.1002/cmdc.201300343;10.1016/j.bmcl.2009.01.066</t>
  </si>
  <si>
    <t>BMS-605339</t>
  </si>
  <si>
    <t>C=C[C@@H]1C[C@]1(NC(=O)[C@@H]1C[C@@H](Oc2nccc3cc(OC)ccc23)CN1C(=O)[C@@H](NC(=O)OC(C)(C)C)C(C)(C)C)C(=O)NS(=O)(=O)C1CC1</t>
  </si>
  <si>
    <t>Asunaprevir</t>
  </si>
  <si>
    <t>C=C[C@@H]1C[C@]1(NC(=O)[C@@H]1C[C@@H](Oc2ncc(OC)c3ccc(Cl)cc23)CN1C(=O)[C@@H](NC(=O)OC(C)(C)C)C(C)(C)C)C(=O)NS(=O)(=O)C1CC1</t>
  </si>
  <si>
    <t>NS3 protease</t>
  </si>
  <si>
    <t>CHEMBL2403888</t>
  </si>
  <si>
    <t>CHEMBL2105735</t>
  </si>
  <si>
    <t>10.1021/acs.jmedchem.6b00821</t>
  </si>
  <si>
    <t>GS-5734</t>
  </si>
  <si>
    <t>CCC(CC)COC(=O)[C@H](C)N[P@](=O)(OC[C@H]1O[C@@](C#N)(c2ccc3c(N)ncnn23)[C@H](O)[C@@H]1O)Oc1ccccc1</t>
  </si>
  <si>
    <t>CHEMBL2016757</t>
  </si>
  <si>
    <t>N#C[C@@]1(c2ccc3c(N)ncnn23)O[C@H](CO)[C@@H](O)[C@H]1O</t>
  </si>
  <si>
    <t>CHEMBL4065616</t>
  </si>
  <si>
    <t>10.1021/acs.jmedchem.6b01594</t>
  </si>
  <si>
    <t>Temsavir</t>
  </si>
  <si>
    <t>COc1cnc(-n2cnc(C)n2)c2[nH]cc(C(=O)C(=O)N3CCN(C(=O)c4ccccc4)CC3)c12</t>
  </si>
  <si>
    <t>CHEMBL336293</t>
  </si>
  <si>
    <t>O=C(C(=O)N1CCN(C(=O)c2ccccc2)CC1)c1c[nH]c2ccccc12</t>
  </si>
  <si>
    <t>HIV attach.</t>
  </si>
  <si>
    <t>CHEMBL3301620</t>
  </si>
  <si>
    <t>10.1021/acs.jmedchem.7b01337</t>
  </si>
  <si>
    <t>IDX899</t>
  </si>
  <si>
    <t>CO[P@](=O)(c1cc(C)cc(/C=C/C#N)c1)c1c(C(N)=O)[nH]c2ccc(Cl)cc12</t>
  </si>
  <si>
    <t>CHEMBL1650747</t>
  </si>
  <si>
    <t>CO[P@](=O)(c1ccccc1)c1c(C(N)=O)[nH]c2ccc(Cl)cc12</t>
  </si>
  <si>
    <t>NNRTI</t>
  </si>
  <si>
    <t>CHEMBL2104968</t>
  </si>
  <si>
    <t>96,97</t>
  </si>
  <si>
    <t>10.1021/acs.jmedchem.5b01430;10.1021/jm101142k</t>
  </si>
  <si>
    <t>OZ439</t>
  </si>
  <si>
    <t>c1cc([C@H]2CC[C@]3(CC2)OO[C@]2(O3)C3CC4CC(C3)CC2C4)ccc1OCCN1CCOCC1</t>
  </si>
  <si>
    <t>CHEMBL1197433</t>
  </si>
  <si>
    <t>CC(C)(N)CNC(=O)C[C@H]1CC[C@@]2(CC1)OO[C@@]1(O2)C2CC3CC(C2)CC1C3</t>
  </si>
  <si>
    <t>CHEMBL1828820</t>
  </si>
  <si>
    <t>antimalarial</t>
  </si>
  <si>
    <t>10.1021/acs.jmedchem.6b01586</t>
  </si>
  <si>
    <t>GSK656</t>
  </si>
  <si>
    <t>Cl.NC[C@H]1OB(O)c2c(OCCO)ccc(Cl)c21</t>
  </si>
  <si>
    <t>CHEMBL4077894</t>
  </si>
  <si>
    <t>CCOc1ccc(Cl)c2c1B(O)O[C@@H]2CN.Cl</t>
  </si>
  <si>
    <t>leucyl-tRNA synthetase inhibitor</t>
  </si>
  <si>
    <t>CHEMBL4082159</t>
  </si>
  <si>
    <t>anti TB</t>
  </si>
  <si>
    <t>10.1021/acs.jmedchem.7b00631</t>
  </si>
  <si>
    <t>TNP-2092</t>
  </si>
  <si>
    <t>CO[C@H]1/C=C/O[C@@]2(C)Oc3c(C)c(O)c4c(O)c(c(/C=N/N5CCC(N(C)C6([C@@H]7CCN(c8c(F)cn9c(=O)c(C(=O)O)cc(C%10CC%10)c9c8C)C7)CC6)CC5)c(O)c4c3C2=O)NC(=O)/C(C)=C\C=C\[C@H](C)[C@H](O)[C@@H](C)[C@@H](O)[C@H](C)[C@H](OC(C)=O)[C@H]1C</t>
  </si>
  <si>
    <t>Rifamycin/ABT-719</t>
  </si>
  <si>
    <t>CO[C@H]1/C=C/O[C@@]2(C)Oc3c(C)c([O-])c4c(O)c(cc(O)c4c3C2=O)NC(=O)/C(C)=C\C=C\[C@H](C)[C@H](O)[C@@H](C)[C@@H](O)[C@@H](C)[C@H](OC(C)=O)[C@@H]1C.[Na+]</t>
  </si>
  <si>
    <t>dual DNA gyrase/RNA polymerase</t>
  </si>
  <si>
    <t>CHEMBL4594404</t>
  </si>
  <si>
    <t>antibacterial</t>
  </si>
  <si>
    <t>CHEMBL2105680</t>
  </si>
  <si>
    <t>10.1021/acs.jmedchem.6b00485</t>
  </si>
  <si>
    <t>PF-06651600</t>
  </si>
  <si>
    <t>C=CC(=O)N1C[C@H](Nc2ncnc3[nH]ccc23)CC[C@@H]1C</t>
  </si>
  <si>
    <t>C[C@@H]1CN(CC[C@@H]1N(C)C1=NC=NC2=C1C=CN2)C(=O)CC#N</t>
  </si>
  <si>
    <t>JAK3</t>
  </si>
  <si>
    <t>CHEMBL4085457</t>
  </si>
  <si>
    <t>inflammation diseases</t>
  </si>
  <si>
    <t>known/random_screen</t>
  </si>
  <si>
    <t>10.1021/acs.jmedchem.6b01694</t>
  </si>
  <si>
    <t>PF-06263276</t>
  </si>
  <si>
    <t>CCc1cc(O)c(F)cc1-c1ccc2c(-c3nc4c([nH]3)CCN(C(=O)c3cnc(N5CCCCC5)cn3)C4)n[nH]c2c1</t>
  </si>
  <si>
    <t>Pan-JAK</t>
  </si>
  <si>
    <t>CHEMBL3644620</t>
  </si>
  <si>
    <t>10.1021/acs.jmedchem.6b01634</t>
  </si>
  <si>
    <t>GSK 2982772</t>
  </si>
  <si>
    <t>CN1C(=O)[C@@H](NC(=O)c2n[nH]c(Cc3ccccc3)n2)COc2ccccc21</t>
  </si>
  <si>
    <t>CHEMBL3785703</t>
  </si>
  <si>
    <t>CN1C(=O)[C@@H](NC(=O)c2cc(Cc3ccccc3)on2)COc2ccccc21</t>
  </si>
  <si>
    <t>RIPK1</t>
  </si>
  <si>
    <t>CHEMBL4071864</t>
  </si>
  <si>
    <t>DEL</t>
  </si>
  <si>
    <t>10.1021/acs.jmedchem.6b01751</t>
  </si>
  <si>
    <t>CBS-3595</t>
  </si>
  <si>
    <t>CC(=O)Nc1cc(-c2c(-c3ccc(F)cc3)nc([S+](C)[O-])n2C)ccn1</t>
  </si>
  <si>
    <t>CHEMBL10</t>
  </si>
  <si>
    <t>C[S+]([O-])c1ccc(-c2nc(-c3ccc(F)cc3)c(-c3ccncc3)[nH]2)cc1</t>
  </si>
  <si>
    <t>P38a MAPK/PDE4</t>
  </si>
  <si>
    <t>CHEMBL1773422</t>
  </si>
  <si>
    <t>known/directed_screen</t>
  </si>
  <si>
    <t>10.1021/acs.jmedchem.6b01647</t>
  </si>
  <si>
    <t>PF-06650833</t>
  </si>
  <si>
    <t>CC[C@@H]1[C@H](F)C(=O)N[C@@H]1COc1nccc2cc(C(N)=O)c(OC)cc12</t>
  </si>
  <si>
    <t>CHEMBL4093989</t>
  </si>
  <si>
    <t>CC(C)Oc1ccccc1C(N)=O</t>
  </si>
  <si>
    <t>IRAK4</t>
  </si>
  <si>
    <t>CHEMBL4081711</t>
  </si>
  <si>
    <t>10.1021/acs.jmedchem.7b00231</t>
  </si>
  <si>
    <t>BMS-986142</t>
  </si>
  <si>
    <t>Cc1c(-c2c(F)cc(C(N)=O)c3[nH]c4c(c23)CC[C@H](C(C)(C)O)C4)cccc1-n1c(=O)c2cccc(F)c2n(C)c1=O</t>
  </si>
  <si>
    <t>CHEMBL3622202</t>
  </si>
  <si>
    <t>CC(C)(C)c1ccc(C(=O)N[C@@H]2CCCN(c3ccc(C(N)=O)c(Nc4ccc(C(=O)N5CCOCC5)cc4)n3)C2)cc1</t>
  </si>
  <si>
    <t>BTK</t>
  </si>
  <si>
    <t>CHEMBL3900554</t>
  </si>
  <si>
    <t>rheumatoid arthritis</t>
  </si>
  <si>
    <t>10.1021/acs.jmedchem.6b01088;10.1016/j.bmcl.2015.07.102</t>
  </si>
  <si>
    <t>Perola_2010</t>
  </si>
  <si>
    <t>ALISKIREN</t>
  </si>
  <si>
    <t>COCCCOc1cc(C[C@@H](C[C@H](N)[C@@H](O)C[C@H](C(=O)NCC(C)(C)C(N)=O)C(C)C)C(C)C)ccc1OC</t>
  </si>
  <si>
    <t>ALISKIREN_LEAD</t>
  </si>
  <si>
    <t>CCCCNC(=O)[C@H](C)C[C@H](O)[C@@H](N)C[C@H](Cc1ccc(C(C)(C)C)c(OCC(N)=O)c1)C(C)C</t>
  </si>
  <si>
    <t>ALVIMOPAN</t>
  </si>
  <si>
    <t>C[C@H]1CN(C[C@H](Cc2ccccc2)C(=O)NCC(=O)O)CC[C@@]1(C)c1cccc(O)c1</t>
  </si>
  <si>
    <t>ALVIMOPAN_LEAD</t>
  </si>
  <si>
    <t>C[C@H]1CN(C)CC[C@@]1(C)c1cccc(O)c1</t>
  </si>
  <si>
    <t>AMBRISENTAN</t>
  </si>
  <si>
    <t>COC(c1ccccc1)(c1ccccc1)C(Oc1nc(C)cc(C)n1)C(=O)O</t>
  </si>
  <si>
    <t>AMBRISENTAN_LEAD</t>
  </si>
  <si>
    <t>COc1cc(OC)nc(OC(C(=O)O)C(C)(Oc2ccc(SC)cc2)c2ccccc2)n1</t>
  </si>
  <si>
    <t>AMPRENAVIR</t>
  </si>
  <si>
    <t>CC(C)CN(C[C@@H](O)[C@H](Cc1ccccc1)NC(=O)O[C@H]1CCOC1)S(=O)(=O)c1ccc(N)cc1</t>
  </si>
  <si>
    <t>AMPRENAVIR_LEAD</t>
  </si>
  <si>
    <t>CC(C)CNC(=O)[C@@H](C)N(Cc1ccccc1)C[C@H](O)[C@H](Cc1ccccc1)NC(=O)C(NC(=O)OCc1ccccc1)C(C)C</t>
  </si>
  <si>
    <t>APREPITANT</t>
  </si>
  <si>
    <t>C[C@@H](O[C@H]1OCCN(Cc2n[nH]c(=O)[nH]2)[C@H]1c1ccc(F)cc1)c1cc(C(F)(F)F)cc(C(F)(F)F)c1</t>
  </si>
  <si>
    <t>APREPITANT_LEAD</t>
  </si>
  <si>
    <t>c1ccc(CO[C@H]2C3CCN(CC3)[C@H]2C(c2ccccc2)c2ccccc2)cc1</t>
  </si>
  <si>
    <t>ARGATROBAN</t>
  </si>
  <si>
    <t>CC1CNc2c(cccc2S(=O)(=O)NC(CCCNC(=N)N)C(=O)N2CC[C@@H](C)C[C@@H]2C(=O)O)C1</t>
  </si>
  <si>
    <t>ARGATROBAN_LEAD</t>
  </si>
  <si>
    <t>COC(=O)C(CCCNC(=N)N)NS(=O)(=O)c1ccc(C)cc1</t>
  </si>
  <si>
    <t>ATAZANAVIR</t>
  </si>
  <si>
    <t>COC(=O)N[C@H](C(=O)N[C@@H](Cc1ccccc1)[C@@H](O)CN(Cc1ccc(-c2ccccn2)cc1)NC(=O)[C@@H](NC(=O)OC)C(C)(C)C)C(C)(C)C</t>
  </si>
  <si>
    <t>ATAZANAVIR_LEAD</t>
  </si>
  <si>
    <t>CC(=O)N[C@H](C(=O)N[C@@H](Cc1ccccc1)[C@@H](O)CN(CC1CCCCC1)NC(=O)[C@@H](NC(C)=O)C(C)C)C(C)C</t>
  </si>
  <si>
    <t>ATORVASTATIN</t>
  </si>
  <si>
    <t>CC(C)c1c(C(=O)Nc2ccccc2)c(-c2ccccc2)c(-c2ccc(F)cc2)n1CC[C@@H](O)C[C@@H](O)CC(=O)O</t>
  </si>
  <si>
    <t>ATORVASTATIN_LEAD</t>
  </si>
  <si>
    <t>Cc1ccc(-c2ccc(F)cc2)n1CC[C@@H]1C[C@@H](O)CC(=O)O1</t>
  </si>
  <si>
    <t>BENAZEPRILAT</t>
  </si>
  <si>
    <t>O=C(O)CN1C(=O)[C@@H](N[C@@H](CCc2ccccc2)C(=O)O)CCc2ccccc21</t>
  </si>
  <si>
    <t>BENAZEPRILAT_LEAD</t>
  </si>
  <si>
    <t>O=C(O)CN1CCCC(CS)C1=O</t>
  </si>
  <si>
    <t>BEXAROTENE</t>
  </si>
  <si>
    <t>C=C(c1ccc(C(=O)O)cc1)c1cc2c(cc1C)C(C)(C)CCC2(C)C</t>
  </si>
  <si>
    <t>BEXAROTENE_LEAD</t>
  </si>
  <si>
    <t>C/C(=C\c1ccc(C(=O)O)cc1)c1cc2c(cc1C)C(C)(C)CCC2(C)C</t>
  </si>
  <si>
    <t>BOSENTAN</t>
  </si>
  <si>
    <t>COc1ccccc1Oc1c(NS(=O)(=O)c2ccc(C(C)(C)C)cc2)nc(-c2ncccn2)nc1OCCO</t>
  </si>
  <si>
    <t>BOSENTAN_LEAD</t>
  </si>
  <si>
    <t>O=S(=O)(Nc1ncnc(OCCO)c1-c1ccc(Cl)cc1)c1ccc(C(F)(F)F)cc1</t>
  </si>
  <si>
    <t>CAPTOPRIL</t>
  </si>
  <si>
    <t>C[C@H](CS)C(=O)N1CCC[C@H]1C(=O)O</t>
  </si>
  <si>
    <t>CAPTOPRIL_LEAD</t>
  </si>
  <si>
    <t>O=C(O)CCC(=O)N1CCC[C@H]1C(=O)O</t>
  </si>
  <si>
    <t>CELECOXIB</t>
  </si>
  <si>
    <t>Cc1ccc(-c2cc(C(F)(F)F)nn2-c2ccc(S(N)(=O)=O)cc2)cc1</t>
  </si>
  <si>
    <t>CELECOXIB_LEAD</t>
  </si>
  <si>
    <t>CS(=O)(=O)c1ccc(-n2nc(C(F)(F)F)cc2-c2ccc(F)cc2)cc1</t>
  </si>
  <si>
    <t>CONIVAPTAN</t>
  </si>
  <si>
    <t>Cc1nc2c([nH]1)CCN(C(=O)c1ccc(NC(=O)c3ccccc3-c3ccccc3)cc1)c1ccccc1-2</t>
  </si>
  <si>
    <t>CONIVAPTAN_LEAD</t>
  </si>
  <si>
    <t>Cc1ccccc1C(=O)Nc1ccc(C(=O)N2CCCCc3ccccc32)cc1</t>
  </si>
  <si>
    <t>DABIGATRAN</t>
  </si>
  <si>
    <t>Cn1c(CNc2ccc(C(=N)N)cc2)nc2cc(C(=O)N(CCC(=O)O)c3ccccn3)ccc21</t>
  </si>
  <si>
    <t>DABIGATRAN_LEAD</t>
  </si>
  <si>
    <t>Cn1c(Cc2ccc(C(=N)N)cc2)nc2cc(NS(=O)(=O)c3ccccc3)ccc21</t>
  </si>
  <si>
    <t>DASATINIB</t>
  </si>
  <si>
    <t>Cc1nc(Nc2ncc(C(=O)Nc3c(C)cccc3Cl)s2)cc(N2CCN(CCO)CC2)n1</t>
  </si>
  <si>
    <t>DASATINIB_LEAD</t>
  </si>
  <si>
    <t>Cc1cc(C)c(NC(=O)c2sc(N)nc2C)c(C)c1</t>
  </si>
  <si>
    <t>DELAVIRDINE</t>
  </si>
  <si>
    <t>CC(C)Nc1cccnc1N1CCN(C(=O)c2cc3cc(NS(C)(=O)=O)ccc3[nH]2)CC1</t>
  </si>
  <si>
    <t>DELAVIRDINE_LEAD</t>
  </si>
  <si>
    <t>CCNc1cccnc1N1CCN(Cc2cc(C)c(OC)c(C)c2)CC1</t>
  </si>
  <si>
    <t>DONEPEZIL</t>
  </si>
  <si>
    <t>COc1cc2c(cc1OC)C(=O)C(CC1CCN(Cc3ccccc3)CC1)C2</t>
  </si>
  <si>
    <t>DONEPEZIL_LEAD</t>
  </si>
  <si>
    <t>O=C(NCCC1CCN(Cc2ccccc2)CC1)c1ccccc1</t>
  </si>
  <si>
    <t>DULOXETINE</t>
  </si>
  <si>
    <t>CNCC[C@H](Oc1cccc2ccccc12)c1cccs1</t>
  </si>
  <si>
    <t>DULOXETINE_LEAD</t>
  </si>
  <si>
    <t>CNCCCOc1cccc2ccccc12</t>
  </si>
  <si>
    <t>DUTASTERIDE</t>
  </si>
  <si>
    <t>C[C@]12CCC3[C@@H](CC[C@H]4NC(=O)C=C[C@]34C)[C@@H]1CC[C@@H]2C(=O)Nc1cc(C(F)(F)F)ccc1C(F)(F)F</t>
  </si>
  <si>
    <t>DUTASTERIDE_LEAD</t>
  </si>
  <si>
    <t>CCN(CC)C(=O)[C@H]1CCC2C3CNC4=CC(=O)CC[C@]4(C)C3CC[C@@]21C</t>
  </si>
  <si>
    <t>ENALAPRILAT</t>
  </si>
  <si>
    <t>C[C@H](N[C@@H](CCc1ccccc1)C(=O)O)C(=O)N1CCC[C@H]1C(=O)O</t>
  </si>
  <si>
    <t>ENALAPRILAT_LEAD</t>
  </si>
  <si>
    <t>C[C@H](NCC(=O)O)C(=O)N1CCC[C@H]1C(=O)O</t>
  </si>
  <si>
    <t>EPROSARTAN</t>
  </si>
  <si>
    <t>CCCCc1ncc(/C=C(\Cc2cccs2)C(=O)O)n1Cc1ccc(C(=O)O)cc1</t>
  </si>
  <si>
    <t>EPROSARTAN_LEAD</t>
  </si>
  <si>
    <t>CCCCc1nc(Cl)c(CC(=O)O)n1Cc1ccccc1Cl</t>
  </si>
  <si>
    <t>ETRAVIRINE</t>
  </si>
  <si>
    <t>Cc1cc(C#N)cc(C)c1Oc1nc(Nc2ccc(C#N)cc2)nc(N)c1Br</t>
  </si>
  <si>
    <t>ETRAVIRINE_LEAD</t>
  </si>
  <si>
    <t>COc1ccccc1NC(C(N)=O)c1c(Cl)cccc1Cl</t>
  </si>
  <si>
    <t>FADROZOLE</t>
  </si>
  <si>
    <t>N#Cc1ccc(C2CCCc3cncn32)cc1</t>
  </si>
  <si>
    <t>FADROZOLE_LEAD</t>
  </si>
  <si>
    <t>N#Cc1ccc(Cn2ccnc2)cc1</t>
  </si>
  <si>
    <t>FOSINOPRILAT</t>
  </si>
  <si>
    <t>O=C(O)[C@@H]1C[C@@H](C2CCCCC2)CN1C(=O)CP(=O)(O)CCCCc1ccccc1</t>
  </si>
  <si>
    <t>FOSINOPRILAT_LEAD</t>
  </si>
  <si>
    <t>O=C(O)[C@@H]1CCCN1C(=O)CP(=O)(O)CCCCc1ccccc1</t>
  </si>
  <si>
    <t>GEFITINIB</t>
  </si>
  <si>
    <t>COc1cc2ncnc(Nc3ccc(F)c(Cl)c3)c2cc1OCCCN1CCOCC1</t>
  </si>
  <si>
    <t>GEFITINIB_LEAD</t>
  </si>
  <si>
    <t>Clc1cccc(Nc2ncnc3ccccc23)c1</t>
  </si>
  <si>
    <t>IMATINIB</t>
  </si>
  <si>
    <t>Cc1ccc(NC(=O)c2ccc(CN3CCN(C)CC3)cc2)cc1Nc1nccc(-c2cccnc2)n1</t>
  </si>
  <si>
    <t>IMATINIB_LEAD</t>
  </si>
  <si>
    <t>c1cncc(-c2ccnc(Nc3cccc(-n4ccnc4)c3)n2)c1</t>
  </si>
  <si>
    <t>INDINAVIR</t>
  </si>
  <si>
    <t>CC(C)(C)NC(=O)[C@@H]1CN(Cc2cccnc2)CCN1C[C@@H](O)C[C@@H](Cc1ccccc1)C(=O)N[C@H]1c2ccccc2C[C@H]1O</t>
  </si>
  <si>
    <t>INDINAVIR_LEAD</t>
  </si>
  <si>
    <t>CC(C)C[C@H](NC(=O)[C@H](Cc1ccccc1)C[C@H](O)[C@H](Cc1ccccc1)NC(=O)[C@H](Cc1ccccc1)NC(=O)[C@H](Cc1ccccc1)NC(=O)OC(C)(C)C)C(=O)N[C@@H](Cc1ccccc1)C(N)=O</t>
  </si>
  <si>
    <t>LAPATINIB</t>
  </si>
  <si>
    <t>CS(=O)(=O)CCNCc1ccc(-c2ccc3ncnc(Nc4ccc(OCc5cccc(F)c5)c(Cl)c4)c3c2)o1</t>
  </si>
  <si>
    <t>LAPATINIB_LEAD</t>
  </si>
  <si>
    <t>COc1cc2ncnc(Nc3ccc(OCc4ccccc4)cc3)c2cc1OC</t>
  </si>
  <si>
    <t>LAROPIPRANT</t>
  </si>
  <si>
    <t>CS(=O)(=O)c1cc(F)cc2c3c(n(Cc4ccc(Cl)cc4)c12)[C@@H](CC(=O)O)CC3</t>
  </si>
  <si>
    <t>LAROPIPRANT_LEAD</t>
  </si>
  <si>
    <t>O=C(O)CC1CCCc2c1n(Cc1ccc(Cl)cc1)c1c(F)cc(F)cc21</t>
  </si>
  <si>
    <t>LOSARTAN</t>
  </si>
  <si>
    <t>CCCCc1nc(Cl)c(CO)n1Cc1ccc(-c2ccccc2-c2nnn[nH]2)cc1</t>
  </si>
  <si>
    <t>LOSARTAN_LEAD</t>
  </si>
  <si>
    <t>CCCCc1nc(Cl)c(CC(=O)O)n1Cc1ccccc1</t>
  </si>
  <si>
    <t>MARAVIROC</t>
  </si>
  <si>
    <t>Cc1nnc(C(C)C)n1C1C[C@H]2CC[C@H](C1)N2CC[C@H](NC(=O)C1CCC(F)(F)CC1)c1ccccc1</t>
  </si>
  <si>
    <t>MARAVIROC_LEAD</t>
  </si>
  <si>
    <t>Cc1nc2cnccc2n1C1CCN(CCC(c2ccccc2)c2ccccc2)CC1</t>
  </si>
  <si>
    <t>MONTELUKAST</t>
  </si>
  <si>
    <t>CC(C)(O)c1ccccc1CC[C@@H](SCC1(CC(=O)O)CC1)c1cccc(/C=C/c2ccc3ccc(Cl)cc3n2)c1</t>
  </si>
  <si>
    <t>MONTELUKAST_LEAD</t>
  </si>
  <si>
    <t>C(=C/c1ccc2ccccc2n1)\c1cccnc1</t>
  </si>
  <si>
    <t>NELFINAVIR</t>
  </si>
  <si>
    <t>[H][C@@]12CCCC[C@]1([H])CN(C[C@@H](O)[C@H](CSc1ccccc1)NC(=O)c1cccc(O)c1C)C(C(=O)NC(C)(C)C)C2</t>
  </si>
  <si>
    <t>NELFINAVIR_LEAD</t>
  </si>
  <si>
    <t>CC(C)(C)NC(=O)c1ccccc1C[C@@H](O)[C@H](Cc1ccccc1)NC(=O)[C@H](CC(N)=O)NC(=O)c1ccc2ccccc2n1</t>
  </si>
  <si>
    <t>NEVIRAPINE</t>
  </si>
  <si>
    <t>Cc1ccnc2c1NC(=O)c1cccnc1N2C1CC1</t>
  </si>
  <si>
    <t>NEVIRAPINE_LEAD</t>
  </si>
  <si>
    <t>CCN1c2ccccc2N(C)C(=O)c2cccnc21</t>
  </si>
  <si>
    <t>OLOPATADINE</t>
  </si>
  <si>
    <t>CN(C)CC/C=C1/c2ccccc2COc2ccc(CC(=O)O)cc21</t>
  </si>
  <si>
    <t>OLOPATADINE_LEAD</t>
  </si>
  <si>
    <t>CN(C)CCSC1c2cc(C(=O)O)ccc2OCc2ncccc21</t>
  </si>
  <si>
    <t>OSELTAMIVIR</t>
  </si>
  <si>
    <t>CCC(CC)O[C@@H]1C=C(C(=O)O)C[C@H](N)[C@H]1NC(C)=O</t>
  </si>
  <si>
    <t>OSELTAMIVIR_LEAD</t>
  </si>
  <si>
    <t>CC(=O)N[C@H]1[C@H](O)C=C(C(=O)O)C[C@@H]1N</t>
  </si>
  <si>
    <t>PALONOSETRON</t>
  </si>
  <si>
    <t>O=C1c2cccc3c2[C@@H](CCC3)CN1[C@@H]1CN2CCC1CC2</t>
  </si>
  <si>
    <t>PALONOSETRON_LEAD</t>
  </si>
  <si>
    <t>Cn1cc(C(=O)NC2CN3CCC2CC3)c2ccccc21</t>
  </si>
  <si>
    <t>RALTEGRAVIR</t>
  </si>
  <si>
    <t>Cc1nnc(C(=O)NC(C)(C)c2nc(C(=O)NCc3ccc(F)cc3)c(O)c(=O)n2C)o1</t>
  </si>
  <si>
    <t>RALTEGRAVIR_LEAD</t>
  </si>
  <si>
    <t>O=C(NCc1ccccc1)c1nc(-c2cccs2)nc(O)c1O</t>
  </si>
  <si>
    <t>RAMELTEON</t>
  </si>
  <si>
    <t>CCC(=O)NCC[C@@H]1CCc2ccc3c(c21)CCO3</t>
  </si>
  <si>
    <t>RAMELTEON_LEAD</t>
  </si>
  <si>
    <t>COc1ccc2[nH]cc(CCNC(C)=O)c2c1</t>
  </si>
  <si>
    <t>RITONAVIR</t>
  </si>
  <si>
    <t>CC(C)c1nc(CN(C)C(=O)N[C@H](C(=O)N[C@@H](Cc2ccccc2)C[C@H](O)[C@H](Cc2ccccc2)NC(=O)OCc2cncs2)C(C)C)cs1</t>
  </si>
  <si>
    <t>RITONAVIR_LEAD</t>
  </si>
  <si>
    <t>CC(C)[C@H](NC(=O)OCc1ccccc1)C(=O)N[C@@H](Cc1ccccc1)[C@H](O)[C@H](O)[C@H](Cc1ccccc1)NC(=O)[C@@H](NC(=O)OCc1ccccc1)C(C)C</t>
  </si>
  <si>
    <t>RIVAROXABAN</t>
  </si>
  <si>
    <t>O=C(NC[C@H]1CN(c2ccc(N3CCOCC3=O)cc2)C(=O)O1)c1ccc(Cl)s1</t>
  </si>
  <si>
    <t>RIVAROXABAN_LEAD</t>
  </si>
  <si>
    <t>N=C(N)COc1cccc(CN2C(=O)[C@@H]3CC=CC(NC(=O)c4ccc(Cl)s4)[C@@H]3C2=O)c1</t>
  </si>
  <si>
    <t>SAQUINAVIR</t>
  </si>
  <si>
    <t>[H][C@@]12CCCC[C@]1([H])CN(C[C@@H](O)[C@H](Cc1ccccc1)NC(=O)[C@H](CC(N)=O)NC(=O)c1ccc3ccccc3n1)[C@H](C(=O)NC(C)(C)C)C2</t>
  </si>
  <si>
    <t>SAQUINAVIR_LEAD</t>
  </si>
  <si>
    <t>CC(C)(C)OC(=O)[C@@H]1CCCN1C[C@@H](O)[C@H](Cc1ccccc1)NC(=O)OCc1ccccc1</t>
  </si>
  <si>
    <t>SILDENAFIL</t>
  </si>
  <si>
    <t>CCCc1nn(C)c2c(=O)[nH]c(-c3cc(S(=O)(=O)N4CCN(C)CC4)ccc3OCC)nc12</t>
  </si>
  <si>
    <t>SILDENAFIL_LEAD</t>
  </si>
  <si>
    <t>CCCOc1ccccc1-c1nc(=O)c2[nH]nnc2[nH]1</t>
  </si>
  <si>
    <t>SITAGLIPTIN</t>
  </si>
  <si>
    <t>N[C@@H](CC(=O)N1CCn2c(nnc2C(F)(F)F)C1)Cc1cc(F)c(F)cc1F</t>
  </si>
  <si>
    <t>SITAGLIPTIN_LEAD</t>
  </si>
  <si>
    <t>N[C@@H](CC(=O)N1CCSC1)Cc1ccccc1</t>
  </si>
  <si>
    <t>SITAXENTAN</t>
  </si>
  <si>
    <t>Cc1cc2c(cc1CC(=O)c1sccc1S(=O)(=O)Nc1onc(C)c1Cl)OCO2</t>
  </si>
  <si>
    <t>SITAXENTAN_LEAD</t>
  </si>
  <si>
    <t>Cc1noc(NS(=O)(=O)c2ccc(N)cc2)c1C</t>
  </si>
  <si>
    <t>SIVELESTAT</t>
  </si>
  <si>
    <t>CC(C)(C)C(=O)Oc1ccc(S(=O)(=O)Nc2ccccc2C(=O)NCC(=O)O)cc1</t>
  </si>
  <si>
    <t>SIVELESTAT_LEAD</t>
  </si>
  <si>
    <t>N=C(N)Nc1ccc(C(=O)Oc2cccc(Cl)c2)cc1</t>
  </si>
  <si>
    <t>SOLIFENACIN</t>
  </si>
  <si>
    <t>O=C(O[C@H]1CN2CCC1CC2)N1CCc2ccccc2[C@@H]1c1ccccc1</t>
  </si>
  <si>
    <t>SOLIFENACIN_LEAD</t>
  </si>
  <si>
    <t>O=C(OC1CCN(Cc2ccccc2)CC1)C(c1ccccc1)c1ccccc1</t>
  </si>
  <si>
    <t>SORAFENIB</t>
  </si>
  <si>
    <t>CNC(=O)c1cc(Oc2ccc(NC(=O)Nc3ccc(Cl)c(C(F)(F)F)c3)cc2)ccn1</t>
  </si>
  <si>
    <t>SORAFENIB_LEAD</t>
  </si>
  <si>
    <t>COC(=O)c1sc(C(C)(C)C)cc1NC(=O)Nc1ccccc1</t>
  </si>
  <si>
    <t>SUNITINIB</t>
  </si>
  <si>
    <t>CCN(CC)CCNC(=O)c1c(C)[nH]c(/C=C2\C(=O)Nc3ccc(F)cc32)c1C</t>
  </si>
  <si>
    <t>SUNITINIB_LEAD</t>
  </si>
  <si>
    <t>O=C1Nc2ccccc2/C1=C/c1ccc[nH]1</t>
  </si>
  <si>
    <t>TADALAFIL</t>
  </si>
  <si>
    <t>[H][C@@]1(c2ccc3c(c2)OCO3)c2[nH]c3ccccc3c2C[C@]2([H])C(=O)N(C)CC(=O)N12</t>
  </si>
  <si>
    <t>TADALAFIL_LEAD</t>
  </si>
  <si>
    <t>CCOC(=O)c1cc2c(cn1)[nH]c1ccccc12</t>
  </si>
  <si>
    <t>TELMISARTAN</t>
  </si>
  <si>
    <t>CCCc1nc2c(C)cc(-c3nc4ccccc4n3C)cc2n1Cc1ccc(-c2ccccc2C(=O)O)cc1</t>
  </si>
  <si>
    <t>TELMISARTAN_LEAD</t>
  </si>
  <si>
    <t>CCCCc1nc(Cl)c(CO)n1Cc1ccc(-c2ccccc2C(=O)O)cc1</t>
  </si>
  <si>
    <t>TERBINAFINE</t>
  </si>
  <si>
    <t>CN(C/C=C/C#CC(C)(C)C)Cc1cccc2ccccc12</t>
  </si>
  <si>
    <t>TERBINAFINE_LEAD</t>
  </si>
  <si>
    <t>CN(C/C=C/c1ccccc1)Cc1cccc2ccccc12</t>
  </si>
  <si>
    <t>TIPRANAVIR</t>
  </si>
  <si>
    <t>CCC[C@@]1(CCc2ccccc2)CC(O)=C([C@H](CC)c2cccc(NS(=O)(=O)c3ccc(C(F)(F)F)cn3)c2)C(=O)O1</t>
  </si>
  <si>
    <t>TIPRANAVIR_LEAD</t>
  </si>
  <si>
    <t>CCC(c1ccccc1)c1c(O)c2ccccc2oc1=O</t>
  </si>
  <si>
    <t>TIROFIBAN</t>
  </si>
  <si>
    <t>CCCCS(=O)(=O)N[C@@H](Cc1ccc(OCCCCC2CCNCC2)cc1)C(=O)O</t>
  </si>
  <si>
    <t>TIROFIBAN_LEAD</t>
  </si>
  <si>
    <t>[H][C@@](Cc1ccc(OCC(O)CNC(C)(C)C)cc1)(NC(=O)OCc1ccccc1)C(=O)O</t>
  </si>
  <si>
    <t>TOPOTECAN</t>
  </si>
  <si>
    <t>CC[C@@]1(O)C(=O)OCc2c1cc1n(c2=O)Cc2cc3c(CN(C)C)c(O)ccc3nc2-1</t>
  </si>
  <si>
    <t>TOPOTECAN_LEAD</t>
  </si>
  <si>
    <t>CC[C@@]1(O)C(=O)OCc2c1cc1n(c2=O)Cc2cc3ccccc3nc2-1</t>
  </si>
  <si>
    <t>VARENICLINE</t>
  </si>
  <si>
    <t>c1cnc2cc3c(cc2n1)[C@@H]1CNC[C@H]3C1</t>
  </si>
  <si>
    <t>VARENICLINE_LEAD</t>
  </si>
  <si>
    <t>O=c1cccc2n1C[C@@H]1CNC[C@H]2C1</t>
  </si>
  <si>
    <t>VILDAGLIPTIN</t>
  </si>
  <si>
    <t>[H][C@]12C[C@]3([H])C[C@](O)(C1)C[C@](NCC(=O)N1CCC[C@H]1C#N)(C2)C3</t>
  </si>
  <si>
    <t>VILDAGLIPTIN_LEAD</t>
  </si>
  <si>
    <t>N#C[C@@H]1CCCN1C(=O)[C@@H](N)C1CCCCC1</t>
  </si>
  <si>
    <t>ZAFIRLUKAST</t>
  </si>
  <si>
    <t>COc1cc(C(=O)NS(=O)(=O)c2ccccc2C)ccc1Cc1cn(C)c2ccc(NC(=O)OC3CCCC3)cc12</t>
  </si>
  <si>
    <t>ZAFIRLUKAST_LEAD</t>
  </si>
  <si>
    <t>CCCCCCOc1ccc(COc2ccccc2C(=O)O)cc1</t>
  </si>
  <si>
    <t>ZANAMIVIR</t>
  </si>
  <si>
    <t>[H][C@@]1([C@H](O)[C@H](O)CO)OC(C(=O)O)=C[C@H](N=C(N)N)[C@H]1NC(C)=O</t>
  </si>
  <si>
    <t>ZANAMIVIR_LEAD</t>
  </si>
  <si>
    <t>[H][C@@]1([C@H](O)[C@H](O)CO)OC(C(=O)O)=C[C@H](O)[C@H]1NC(C)=O</t>
  </si>
  <si>
    <t>Opera_2001</t>
  </si>
  <si>
    <t>OMEPRAZOLE</t>
  </si>
  <si>
    <t>COc1ccc2[nH]c(S(=O)Cc3ncc(C)c(OC)c3C)nc2c1</t>
  </si>
  <si>
    <t>CMN_131</t>
  </si>
  <si>
    <t>NC(=S)Cc1ccccn1</t>
  </si>
  <si>
    <t>H+ pump</t>
  </si>
  <si>
    <t>CIMETIDINE</t>
  </si>
  <si>
    <t>CN/C(=N\C#N)NCCSCc1nc[nH]c1C</t>
  </si>
  <si>
    <t>Nalpha-guanylhistamine</t>
  </si>
  <si>
    <t>N=C(N)NCCc1c[nH]cn1</t>
  </si>
  <si>
    <t>H2 receptor</t>
  </si>
  <si>
    <t>BURIMAMIDE</t>
  </si>
  <si>
    <t>CNC(=S)NCCCCc1c[nH]cn1</t>
  </si>
  <si>
    <t>CLOZAPINE</t>
  </si>
  <si>
    <t>CN1CCN(C2=Nc3cc(Cl)ccc3Nc3ccccc32)CC1</t>
  </si>
  <si>
    <t>IMIPRAMINE</t>
  </si>
  <si>
    <t>CN(C)CCCN1c2ccccc2CCc2ccccc21</t>
  </si>
  <si>
    <t>anxiolytic</t>
  </si>
  <si>
    <t>benzodiazepine-amidine</t>
  </si>
  <si>
    <t>CN(C)C1=Nc2ccccc2Nc2ccccc21</t>
  </si>
  <si>
    <t>neuroleptic</t>
  </si>
  <si>
    <t>CHLORPROMAZINE</t>
  </si>
  <si>
    <t>CN(C)CCCN1c2ccccc2Sc2ccc(Cl)cc21</t>
  </si>
  <si>
    <t>PROMETHAZINE</t>
  </si>
  <si>
    <t>CC(CN1c2ccccc2Sc2ccccc21)N(C)C</t>
  </si>
  <si>
    <t>H1 receptors</t>
  </si>
  <si>
    <t>BUTACLAMOL</t>
  </si>
  <si>
    <t>[H][C@@]12CN3CC[C@@H](C(C)(C)C)C[C@@]3([H])c3cccc(c31)CCc1ccccc12</t>
  </si>
  <si>
    <t>dibenzocycloheptenlactam</t>
  </si>
  <si>
    <t>O=C1NCC2c3ccccc3CCc3cccc1c32</t>
  </si>
  <si>
    <t>antipsychotic</t>
  </si>
  <si>
    <t>yes</t>
  </si>
  <si>
    <t>AMITRIPTYLLINE</t>
  </si>
  <si>
    <t>CN(C)CCC=C1c2ccccc2CCc2ccccc21</t>
  </si>
  <si>
    <t>antidepressant</t>
  </si>
  <si>
    <t>CHLORPROTHIXENE</t>
  </si>
  <si>
    <t>CN(C)CCC=C1c2ccccc2Sc2ccccc21</t>
  </si>
  <si>
    <t>TACLAMINE</t>
  </si>
  <si>
    <t>[H][C@@]12CN3CCCC[C@@]3([H])c3cccc(c31)CCc1ccccc12</t>
  </si>
  <si>
    <t>CLONIDINE</t>
  </si>
  <si>
    <t>Clc1cccc(Cl)c1N=C1NCCN1</t>
  </si>
  <si>
    <t>TOLAZOLINE</t>
  </si>
  <si>
    <t>c1ccc(CC2=NCCN2)cc1</t>
  </si>
  <si>
    <t>alpha-adrenergic</t>
  </si>
  <si>
    <t>PHENTOLAMINE</t>
  </si>
  <si>
    <t>Cc1ccc(N(CC2=NCCN2)c2ccc(O)cc2)cc1</t>
  </si>
  <si>
    <t>PROPRANOLOL</t>
  </si>
  <si>
    <t>CC(C)NC[C@@H](O)COc1cccc2ccccc12</t>
  </si>
  <si>
    <t>DICHLOROISOPRENALINE</t>
  </si>
  <si>
    <t>CN(C)C[C@H](O)c1ccc(Cl)c(Cl)c1</t>
  </si>
  <si>
    <t>beta-adrenergic</t>
  </si>
  <si>
    <t>JMC98_41_4556B</t>
  </si>
  <si>
    <t>O=C1C[C@]2(c3ccc(Cl)c(Cl)c3)O[C@H](CCc3ccc(Cl)cc3)CN12</t>
  </si>
  <si>
    <t>ClavamycinD_JMC98_41_4556A</t>
  </si>
  <si>
    <t>[H][C@]12CC(=O)N1C[C@H](C(O)C(NC(=O)C(N)C(C)C)C(=O)O)O2</t>
  </si>
  <si>
    <t>antidiabetic</t>
  </si>
  <si>
    <t>JMC98_41_565B</t>
  </si>
  <si>
    <t>CCCC(=O)NCC(=O)N(C)c1ccc(Cl)c(COc2cccn3c(Br)c(C)nc23)c1Cl</t>
  </si>
  <si>
    <t>JMC98_41_565A</t>
  </si>
  <si>
    <t>C#CCOCc1c(C)nc2c(OCc3c(Cl)cccc3Cl)cccn12</t>
  </si>
  <si>
    <t>bradykinin B2</t>
  </si>
  <si>
    <t>JMC98_41_4190B</t>
  </si>
  <si>
    <t>CC(C)OC(=O)c1cn(Cc2c(F)cccc2F)c2sc(-c3ccc(NC(=O)C(C)C)cc3)c(CN(C)Cc3ccccc3)c2c1=O</t>
  </si>
  <si>
    <t>JMC98_41_4190A</t>
  </si>
  <si>
    <t>CCOC(=O)c1cn(Cc2ccccc2OC)c2sc(-c3ccc(OC)cc3)c(C)c2c1=O</t>
  </si>
  <si>
    <t>LHRH</t>
  </si>
  <si>
    <t>L-367773</t>
  </si>
  <si>
    <t>CC1(C)[C@@H]2CC[C@@]1(CS(=O)(=O)N1CCC3(CCc4ccccc43)CC1)[C@@H](NC(=O)Cc1c[nH]cn1)C2</t>
  </si>
  <si>
    <t>L-342643</t>
  </si>
  <si>
    <t>Cc1ccc(S(=O)(=O)N2CCC3(C=Cc4ccccc43)CC2)cc1</t>
  </si>
  <si>
    <t>oxytocin receptors</t>
  </si>
  <si>
    <t>BMCL96_6_1623B</t>
  </si>
  <si>
    <t>Cc1cc(C)cc(C(=O)N2CCC(NCCc3ccccc3)CC2Cc2ccccc2)c1</t>
  </si>
  <si>
    <t>BMCL96_6_1623A</t>
  </si>
  <si>
    <t>Cc1cc(C)cc(C(=O)N2CCN(CCc3ccc(Cl)cc3)CC2)c1</t>
  </si>
  <si>
    <t>tachykinin</t>
  </si>
  <si>
    <t>JMC98_41_3461B</t>
  </si>
  <si>
    <t>CC1=CC(C)(C)Nc2ccc(-c3cc(F)cc(C#N)c3)cc21</t>
  </si>
  <si>
    <t>JMC98_41_3461A</t>
  </si>
  <si>
    <t>CC1=CC(C)(C)Nc2ccc(-c3ccccc3)cc21</t>
  </si>
  <si>
    <t>progesterone receptors</t>
  </si>
  <si>
    <t>BACLOFEN</t>
  </si>
  <si>
    <t>NCC(CC(=O)O)c1ccc(Cl)cc1</t>
  </si>
  <si>
    <t>GABA</t>
  </si>
  <si>
    <t>NCCCC(=O)O</t>
  </si>
  <si>
    <t>GABA-B receptors</t>
  </si>
  <si>
    <t>THIOPERAMIDE</t>
  </si>
  <si>
    <t>HISTAMINE</t>
  </si>
  <si>
    <t>NCCc1cnc[nH]1</t>
  </si>
  <si>
    <t>H3 receptors</t>
  </si>
  <si>
    <t>ASPIRIN</t>
  </si>
  <si>
    <t>CC(=O)Oc1ccccc1C(=O)O</t>
  </si>
  <si>
    <t>salicilic_acid</t>
  </si>
  <si>
    <t>O=C(O)c1ccccc1O</t>
  </si>
  <si>
    <t>antiinflamatory</t>
  </si>
  <si>
    <t>PREDNISOLONE</t>
  </si>
  <si>
    <t>[H][C@@]12CC[C@](O)(C(=O)CO)[C@@]1(C)C[C@H](O)[C@@]1([H])[C@@]2([H])CCC2=CC(=O)C=C[C@@]21C</t>
  </si>
  <si>
    <t>CORTISOL</t>
  </si>
  <si>
    <t>[H][C@@]12CC[C@](O)(C(=O)CO)[C@@]1(C)C[C@H](O)[C@@]1([H])[C@@]2([H])CCC2=CC(=O)CC[C@@]21C</t>
  </si>
  <si>
    <t>5FLUOROURACIL</t>
  </si>
  <si>
    <t>O=c1[nH]cc(F)c(=O)[nH]1</t>
  </si>
  <si>
    <t>URACIL</t>
  </si>
  <si>
    <t>O=c1cc[nH]c(=O)[nH]1</t>
  </si>
  <si>
    <t>anticancer</t>
  </si>
  <si>
    <t>MIFEPRISTONE</t>
  </si>
  <si>
    <t>[H][C@@]12CC[C@@](O)(C#CC)[C@@]1(C)C[C@H](c1ccc(N(C)C)cc1)C1=C3CCC(=O)C=C3CC[C@]12[H]</t>
  </si>
  <si>
    <t>PROGESTERONE</t>
  </si>
  <si>
    <t>[H][C@@]12CCC3=CC(=O)CC[C@]3(C)[C@@]1([H])CC[C@]1(C)[C@@H](C(C)=O)CC[C@@]21[H]</t>
  </si>
  <si>
    <t>RU2323</t>
  </si>
  <si>
    <t>[H][C@@]12CC[C@@](O)(C#C)[C@@]1(CC)C=CC1=C3CCC(=O)C=C3CC[C@]12[H]</t>
  </si>
  <si>
    <t>RANITIDINE</t>
  </si>
  <si>
    <t>CN/C(=C\[N+](=O)[O-])NCCSCc1ccc(CN(C)C)o1</t>
  </si>
  <si>
    <t>AH18665</t>
  </si>
  <si>
    <t>CNC(=S)NCCSCc1ccc(CN(C)C)o1</t>
  </si>
  <si>
    <t>LAFUTIDINE</t>
  </si>
  <si>
    <t>O=C(CS(=O)Cc1ccco1)NC/C=C/COc1cc(CN2CCCCC2)ccn1</t>
  </si>
  <si>
    <t>AH20285</t>
  </si>
  <si>
    <t>CN(C)Cc1ccc(CSCCNc2nc(N)n[nH]2)o1</t>
  </si>
  <si>
    <t>LORATADINE</t>
  </si>
  <si>
    <t>CCOC(=O)N1CCC(=C2c3ccc(Cl)cc3CCc3cccnc32)CC1</t>
  </si>
  <si>
    <t>8-Chloro-AZATADINE</t>
  </si>
  <si>
    <t>CN1CCC(=C2c3ccc(Cl)cc3CCc3cccnc32)CC1</t>
  </si>
  <si>
    <t>H1 receptor</t>
  </si>
  <si>
    <t>MISOPROSTOL</t>
  </si>
  <si>
    <t>CCCCC(C)(O)C/C=C/[C@H]1[C@H](O)CC(=O)[C@@H]1CCCCCCC(=O)OC</t>
  </si>
  <si>
    <t>PGE1</t>
  </si>
  <si>
    <t>CCCCC[C@H](O)/C=C/[C@H]1[C@H](O)CC(=O)[C@@H]1CCCCCCC(=O)O</t>
  </si>
  <si>
    <t>antiulcer</t>
  </si>
  <si>
    <t>ENALAPRIL</t>
  </si>
  <si>
    <t>CCOC(=O)[C@H](CCc1ccccc1)N[C@@H](C)C(=O)N1CCC[C@H]1C(=O)O</t>
  </si>
  <si>
    <t>ALAPRO</t>
  </si>
  <si>
    <t>C[C@H](N)C(=O)N1CCC[C@H]1C(=O)O</t>
  </si>
  <si>
    <t>ACE</t>
  </si>
  <si>
    <t>LISINOPRIL</t>
  </si>
  <si>
    <t>NCCCC[C@H](N[C@@H](CCc1ccccc1)C(=O)O)C(=O)N1CCC[C@H]1C(=O)O</t>
  </si>
  <si>
    <t>METHOTREXATE</t>
  </si>
  <si>
    <t>CN(Cc1cnc2nc(N)nc(N)c2n1)c1ccc(C(=O)N[C@@H](CCC(=O)O)C(=O)O)cc1</t>
  </si>
  <si>
    <t>TETRAHYDROFOLATE</t>
  </si>
  <si>
    <t>Nc1nc(O)c2c(n1)NCC(CNc1ccc(C(=O)N[C@@H](CCC(=O)N[C@@H](CCC(=O)O)C(=O)O)C(=O)O)cc1)N2</t>
  </si>
  <si>
    <t>METHYLPHENIDATE</t>
  </si>
  <si>
    <t>[H][C@]1([C@H](C(=O)OC)c2ccccc2)CCCCN1</t>
  </si>
  <si>
    <t>AMPHETAMINE</t>
  </si>
  <si>
    <t>CC(N)Cc1ccccc1</t>
  </si>
  <si>
    <t>CNS stimulant</t>
  </si>
  <si>
    <t>SUMATRIPTAN</t>
  </si>
  <si>
    <t>CNS(=O)(=O)Cc1ccc2[nH]cc(CCN(C)C)c2c1</t>
  </si>
  <si>
    <t>SEROTONIN</t>
  </si>
  <si>
    <t>NCCc1c[nH]c2ccc(O)cc12</t>
  </si>
  <si>
    <t>5HT receptors</t>
  </si>
  <si>
    <t>METHYSERGIDE</t>
  </si>
  <si>
    <t>[H][C@@]12Cc3cn(C)c4cccc(c34)C1=C[C@@H](C(=O)NC(CC)CO)CN2C</t>
  </si>
  <si>
    <t>LYSERGIDE</t>
  </si>
  <si>
    <t>[H][C@@]12Cc3c[nH]c4cccc(c34)C1=C[C@@H](C(=O)N(CC)CC)CN2C</t>
  </si>
  <si>
    <t>PROCAINE</t>
  </si>
  <si>
    <t>CCN(CC)CCOC(=O)c1ccc(N)cc1</t>
  </si>
  <si>
    <t>COCAINE</t>
  </si>
  <si>
    <t>[H][C@]12CC[C@]([H])([C@@H](C(=O)OC)[C@@H](OC(=O)c3ccccc3)C1)N2C</t>
  </si>
  <si>
    <t>local anesthetic</t>
  </si>
  <si>
    <t>PROCAINAMIDE</t>
  </si>
  <si>
    <t>CCN(CC)CCNC(=O)c1ccc(N)cc1</t>
  </si>
  <si>
    <t>FLECAINIDE</t>
  </si>
  <si>
    <t>O=C(NCC1CCCCN1)c1cc(OCC(F)(F)F)ccc1OCC(F)(F)F</t>
  </si>
  <si>
    <t>Antiarrhythmic</t>
  </si>
  <si>
    <t>BMCL98_8_1697</t>
  </si>
  <si>
    <t>L-536619</t>
  </si>
  <si>
    <t>Nc1cc[n+](Cc2ccc(OCc3ccccc3)cc2)cc1</t>
  </si>
  <si>
    <t>Thrombin</t>
  </si>
  <si>
    <t>L-374087</t>
  </si>
  <si>
    <t>Cc1nc(N)ccc1CNC(=O)Cn1c(C)ccc(NS(=O)(=O)Cc2ccccc2)c1=O</t>
  </si>
  <si>
    <t>c1ccc(C(Oc2ccc(CNc3ccncc3)cc2)c2ccccc2)cc1</t>
  </si>
  <si>
    <t>MELAGATRAN</t>
  </si>
  <si>
    <t>CCOC(=O)CN[C@@H](C(=O)N1CC[C@H]1C(=O)NCc1ccc(C(=N)NO)cc1)C1CCCCC1</t>
  </si>
  <si>
    <t>D-PHE-PRO-ARGINAL</t>
  </si>
  <si>
    <t>N=C(N)NCCC[C@@H](C=O)NC(=O)[C@@H]1CCCN1C(=O)[C@H](N)Cc1ccccc1</t>
  </si>
  <si>
    <t>METOPROLOL</t>
  </si>
  <si>
    <t>COCCc1ccc(OCC(O)CNC(C)C)cc1</t>
  </si>
  <si>
    <t>PARAPTIN</t>
  </si>
  <si>
    <t>C=CCc1ccc(OCC(O)CNC(C)C)cc1</t>
  </si>
  <si>
    <t>beta receptors</t>
  </si>
  <si>
    <t>ALMOKALANT</t>
  </si>
  <si>
    <t>CCCS(=O)CCCN(CC)CC(O)COc1ccc(C#N)cc1</t>
  </si>
  <si>
    <t>D-SOTALOL</t>
  </si>
  <si>
    <t>CC(C)NC[C@@H](O)c1ccc(NS(C)(=O)=O)cc1</t>
  </si>
  <si>
    <t>antiarrhythmic</t>
  </si>
  <si>
    <t>INPEA</t>
  </si>
  <si>
    <t>CC(C)NCC(O)c1ccc([N+](=O)[O-])cc1</t>
  </si>
  <si>
    <t>CLOFILIUM-TOSYLATE</t>
  </si>
  <si>
    <t>CCCCCCC[N+](CC)(CC)CCCCc1ccc(Cl)cc1</t>
  </si>
  <si>
    <t>HEXAETHYLAMMONIUM</t>
  </si>
  <si>
    <t>C[N+](C)(C)CCCCCC[N+](C)(C)C</t>
  </si>
  <si>
    <t>TETRAETHYLAMMONIUM</t>
  </si>
  <si>
    <t>CC[N+](CC)(CC)CC</t>
  </si>
  <si>
    <t>ganglioplegic</t>
  </si>
  <si>
    <t>OXAMNIQUINE</t>
  </si>
  <si>
    <t>CC(C)NCC1CCc2cc(CO)c([N+](=O)[O-])cc2N1</t>
  </si>
  <si>
    <t>MIRASAN</t>
  </si>
  <si>
    <t>CCN(CC)CCNc1ccc(C)c(Cl)c1</t>
  </si>
  <si>
    <t>Bilharzia</t>
  </si>
  <si>
    <t>CEFOXITIN</t>
  </si>
  <si>
    <t>CO[C@@]1(NC(=O)Cc2cccs2)C(=O)N2C(C(=O)O)=C(COC(N)=O)CC[C@@H]21</t>
  </si>
  <si>
    <t>CEPHAMYCIN_C</t>
  </si>
  <si>
    <t>CO[C@@]1(NC(=O)CCCC(N)C(=O)O)C(=O)N2C(C(=O)O)=C(COC(N)=O)CC[C@@H]21</t>
  </si>
  <si>
    <t>Antibiotic</t>
  </si>
  <si>
    <t>XEMILOFIBAN_AND_GR144053</t>
  </si>
  <si>
    <t>RGD</t>
  </si>
  <si>
    <t>N=C(N)NCCC[C@H](N)C(=O)NCC(=O)N[C@@H](CC(=O)O)C(=O)O</t>
  </si>
  <si>
    <t>GP_IIb/IIIa</t>
  </si>
  <si>
    <t>ESMOLOL</t>
  </si>
  <si>
    <t>COC(=O)CCc1ccc(OC[C@H](O)CNC(C)C)cc1</t>
  </si>
  <si>
    <t>ASL_800X</t>
  </si>
  <si>
    <t>COC(=O)c1ccc(OC[C@H](O)CNC(C)C)cc1</t>
  </si>
  <si>
    <t>Beta adrenergic receptors</t>
  </si>
  <si>
    <t>DILTIAZEM</t>
  </si>
  <si>
    <t>[H]C1(OC(C)=O)C(=O)N(CCN(C)C)c2ccccc2SC1([H])c1ccc(OC)cc1</t>
  </si>
  <si>
    <t>THIAZESIM</t>
  </si>
  <si>
    <t>CN(C)CCN1C(=O)CC(c2ccccc2)Sc2ccccc21</t>
  </si>
  <si>
    <t>OXAZEPAM</t>
  </si>
  <si>
    <t>O=C1Nc2ccc(Cl)cc2C(c2ccccc2)=NC1O</t>
  </si>
  <si>
    <t>Tranquilizer</t>
  </si>
  <si>
    <t>AZTREONAM</t>
  </si>
  <si>
    <t>[H][n+]1c(/C(=N/OC(C)(C)C(=O)O)C(=O)N[C@@H]2C(=O)N(S(=O)(=O)[O-])[C@H]2C)csc1N</t>
  </si>
  <si>
    <t>SQ26180</t>
  </si>
  <si>
    <t>CO[C@]1(NC(C)=O)CN(S(=O)(=O)[O-])C1=O</t>
  </si>
  <si>
    <t>antibiotic</t>
  </si>
  <si>
    <t>GANCICLOVIR</t>
  </si>
  <si>
    <t>Nc1nc(O)c2ncn(COC(CO)CO)c2n1</t>
  </si>
  <si>
    <t>GUANOSINE</t>
  </si>
  <si>
    <t>Nc1nc2c(ncn2[C@@H]2O[C@H](CO)[C@@H](O)[C@H]2O)c(=O)[nH]1</t>
  </si>
  <si>
    <t>AR-H037910</t>
  </si>
  <si>
    <t>CS(=O)(=O)Oc1ccc(CCOc2ccc(CC3SC(=O)NC3=O)cc2)cc1</t>
  </si>
  <si>
    <t>AR-H032470</t>
  </si>
  <si>
    <t>N#Cc1ccc(OCC(O)COc2ccc(/C=C3\SC(=O)NC3=O)cc2)cc1</t>
  </si>
  <si>
    <t>IRS</t>
  </si>
  <si>
    <t>AR-H039242</t>
  </si>
  <si>
    <t>CCO[C@@H](Cc1ccc(OCCc2ccc(OS(C)(=O)=O)cc2)cc1)C(=O)O</t>
  </si>
  <si>
    <t>AR-H036173</t>
  </si>
  <si>
    <t>CS(=O)(=O)Oc1ccc(CCOc2ccc(CC(C#N)C(=O)O)cc2)cc1</t>
  </si>
  <si>
    <t>AR-H049020</t>
  </si>
  <si>
    <t>CCO[C@@H](Cc1ccc(OCCc2ccc(NC(=O)OC(C)(C)C)cc2)cc1)C(=O)O</t>
  </si>
  <si>
    <t>none</t>
  </si>
  <si>
    <t>CAMPTOTHECIN</t>
  </si>
  <si>
    <t>TAXOL</t>
  </si>
  <si>
    <t>[H][C@]12[C@H](OC(=O)c3ccccc3)[C@]3(O)C[C@H](OC(=O)[C@H](O)[C@@H](NC(=O)c4ccccc4)c4ccccc4)C(C)=C([C@@H](OC(C)=O)C(=O)[C@]1(C)[C@@H](O)C[C@@]1([H])OC[C@@]21OC(C)=O)C3(C)C</t>
  </si>
  <si>
    <t>AMSACRINE</t>
  </si>
  <si>
    <t>COc1cc(NS(C)(=O)=O)ccc1Nc1c2ccccc2nc2ccccc12</t>
  </si>
  <si>
    <t>ACRIDINIUM_ANALOG</t>
  </si>
  <si>
    <t>C[n+]1ccc(Nc2ccc(NC(=O)c3ccc(Nc4c5ccccc5[n+](C)c5ccccc45)cc3)cc2)cc1</t>
  </si>
  <si>
    <t>antileukemic</t>
  </si>
  <si>
    <t>NALBUPHINE</t>
  </si>
  <si>
    <t>[H][C@@]12CC[C@H](O)[C@]3([H])Oc4c(O)ccc5c4[C@]13CCN(CC1CCC1)[C@]2([H])C5</t>
  </si>
  <si>
    <t>MORPHINE</t>
  </si>
  <si>
    <t>[H][C@@]12C=C[C@H](O)[C@]3([H])Oc4c(O)ccc5c4[C@]13CCN(C)[C@]2([H])C5</t>
  </si>
  <si>
    <t>opiate receptors</t>
  </si>
  <si>
    <t>VERAPAMIL</t>
  </si>
  <si>
    <t>COc1ccc(CCN(C)CCCC(C#N)(c2ccc(OC)c(OC)c2)C(C)C)cc1OC</t>
  </si>
  <si>
    <t>PAPAVERINE</t>
  </si>
  <si>
    <t>COc1ccc(Cc2nccc3cc(OC)c(OC)cc23)cc1OC</t>
  </si>
  <si>
    <t>spasmolytic</t>
  </si>
  <si>
    <t>FELODIPINE</t>
  </si>
  <si>
    <t>CCOC(=O)C1=C(C)NC(C)=C(C(=O)OC)C1c1cccc(Cl)c1Cl</t>
  </si>
  <si>
    <t>NIFEDIPINE</t>
  </si>
  <si>
    <t>COC(=O)C1=C(C)NC(C)=C(C(=O)OC)C1c1ccccc1[N+](=O)[O-]</t>
  </si>
  <si>
    <t>Ca2+ channels</t>
  </si>
  <si>
    <t>BIBP3226</t>
  </si>
  <si>
    <t>N=C(N)NCCC[C@@H](NC(=O)C(c1ccccc1)c1ccccc1)C(=O)NCc1ccc(O)cc1</t>
  </si>
  <si>
    <t>PHEARG</t>
  </si>
  <si>
    <t>N=C(N)NCCC[C@H](N)C(=O)N[C@@H](Cc1ccc(O)cc1)C(N)=O</t>
  </si>
  <si>
    <t>Y1 receptors</t>
  </si>
  <si>
    <t>CGP66891A</t>
  </si>
  <si>
    <t>COc1ccc(C(=O)NCc2cccc(CN)c2)cc1S(=O)(=O)NC(=N)NC(=O)c1nc(Cl)c(NC(C)C)nc1N</t>
  </si>
  <si>
    <t>NOVARTIS_Lead? y/n</t>
  </si>
  <si>
    <t>CC(C)Nc1nc(N)c(C(=O)NC(=N)NS(=O)(=O)N(C)C)nc1Cl</t>
  </si>
  <si>
    <t>MDDR_273694</t>
  </si>
  <si>
    <t>Clc1ccc(OCc2nc3c(OCCCN4CCCCC4)cccc3n2CCCC2CCN(CCc3ccc(I)cc3)CC2)cc1</t>
  </si>
  <si>
    <t>MDDR_273694_Lead? y/n</t>
  </si>
  <si>
    <t>Cn1c(COc2ccc(Cl)cc2)c(CN2CCCCC2)c2ccccc21</t>
  </si>
  <si>
    <t>MEFLOQUINE</t>
  </si>
  <si>
    <t>OC(c1cc(C(F)(F)F)nc2c(C(F)(F)F)cccc12)C1CCCCN1</t>
  </si>
  <si>
    <t>QUININE</t>
  </si>
  <si>
    <t>[H]C(O)(c1ccnc2ccc(OC)cc12)[C@@]1([H])C[C@]2([H])CCN1C[C@@]2([H])C=C</t>
  </si>
  <si>
    <t>Antimalarial</t>
  </si>
  <si>
    <t>GUANETHIDINE</t>
  </si>
  <si>
    <t>N=C(N)NCCN1CCCCCCC1</t>
  </si>
  <si>
    <t>SU4029</t>
  </si>
  <si>
    <t>N/C(CCN1CCCC1)=N\O</t>
  </si>
  <si>
    <t>Anti-hypertensive</t>
  </si>
  <si>
    <t>PIROXICAM</t>
  </si>
  <si>
    <t>CN1C(C(=O)Nc2ccccn2)=C(O)c2ccccc2S1(=O)=O</t>
  </si>
  <si>
    <t>TESICAM</t>
  </si>
  <si>
    <t>O=C(Nc1ccc(Cl)cc1)c1c(O)[nH]c(=O)c2ccccc12</t>
  </si>
  <si>
    <t>Anti-inflammatory</t>
  </si>
  <si>
    <t>EUCATROPINE</t>
  </si>
  <si>
    <t>CC1CC(OC(=O)C(O)c2ccccc2)CC(C)(C)N1C</t>
  </si>
  <si>
    <t>HOMATROPINE</t>
  </si>
  <si>
    <t>[H][C@]12CC[C@]([H])(C[C@H](OC(=O)C(O)c3ccccc3)C1)N2C</t>
  </si>
  <si>
    <t>Anticholinergic</t>
  </si>
  <si>
    <t>DIPHENOXYLATE</t>
  </si>
  <si>
    <t>CCOC(=O)C1(c2ccccc2)CCN(CCC(C#N)(c2ccccc2)c2ccccc2)CC1</t>
  </si>
  <si>
    <t>MEPERIDINE</t>
  </si>
  <si>
    <t>CCOC(=O)C1(c2ccccc2)CCN(C)CC1</t>
  </si>
  <si>
    <t>Analgesic</t>
  </si>
  <si>
    <t>GALLAMINE</t>
  </si>
  <si>
    <t>CC[N+](CC)(CC)CCOc1cccc(OCC[N+](CC)(CC)CC)c1OCC[N+](CC)(CC)CC</t>
  </si>
  <si>
    <t>TUBOCURARINE</t>
  </si>
  <si>
    <t>[H][C@]12Cc3ccc(cc3)Oc3c(O)c(OC)cc4c3[C@@]([H])(Cc3ccc(O)c(c3)Oc3cc1c(cc3OC)CC[NH+]2C)[N+](C)(C)CC4</t>
  </si>
  <si>
    <t>Neuromuscular blocker.</t>
  </si>
  <si>
    <t>ROCURONIUM</t>
  </si>
  <si>
    <t>[H][C@@]12CC[C@]3([H])[C@]([H])(CC[C@]4(C)[C@@H](OC(C)=O)[C@@H]([N+]5(CC=C)CCCC5)C[C@@]34[H])[C@@]1(C)C[C@H](N1CCOCC1)[C@@H](O)C2</t>
  </si>
  <si>
    <t>WARFARIN</t>
  </si>
  <si>
    <t>CC(=O)CC(c1ccccc1)c1c(O)c2ccccc2oc1=O</t>
  </si>
  <si>
    <t>DICOUMAROL</t>
  </si>
  <si>
    <t>O=c1oc2ccccc2c(O)c1Cc1c(O)c2ccccc2oc1=O</t>
  </si>
  <si>
    <t>Anticoagulant</t>
  </si>
  <si>
    <t>CLORICROMEN</t>
  </si>
  <si>
    <t>CCOC(=O)COc1ccc2c(C)c(CCN(CC)CC)c(=O)oc2c1Cl</t>
  </si>
  <si>
    <t>DICLOFENAC</t>
  </si>
  <si>
    <t>O=C(O)Cc1ccccc1Nc1c(Cl)cccc1Cl</t>
  </si>
  <si>
    <t>SALOL</t>
  </si>
  <si>
    <t>O=C(Oc1ccccc1)c1ccccc1O</t>
  </si>
  <si>
    <t>Antiinflamatory</t>
  </si>
  <si>
    <t>S8307</t>
  </si>
  <si>
    <t>Angiotensin II receptors</t>
  </si>
  <si>
    <t>JMC97_40_841</t>
  </si>
  <si>
    <t>O=C(/C=C/c1c(C(=O)O)[nH]c2cc(Cl)cc(Cl)c12)Nc1ccccc1</t>
  </si>
  <si>
    <t>7-Cl-KYNURENIC_ACID</t>
  </si>
  <si>
    <t>O=C(O)c1cc(=O)c2ccc(Cl)cc2[nH]1</t>
  </si>
  <si>
    <t>NMDA receptor</t>
  </si>
  <si>
    <t>JMC97_40_953</t>
  </si>
  <si>
    <t>O=C(NCCN1CCN(C2CCCc3ccccc32)CC1)c1ccc(F)cc1</t>
  </si>
  <si>
    <t>BUSPIRONE</t>
  </si>
  <si>
    <t>O=C1CC2(CCCC2)CC(=O)N1CCCCN1CCN(c2ncccn2)CC1</t>
  </si>
  <si>
    <t>5-HT1A receptors</t>
  </si>
  <si>
    <t>JMC97_40_967</t>
  </si>
  <si>
    <t>CCNC1=CC(=O)c2c(O)c3c(c(O)c2C1=O)OC1(C3)CC(O)c2cc3cc(C(=O)OC)oc(=O)c3c(O)c2O1</t>
  </si>
  <si>
    <t>PURPUROMYCIN</t>
  </si>
  <si>
    <t>COC(=O)c1cc2cc3c(c(O)c2c(=O)o1)OC1(Cc2c(O)c4c(c(O)c2O1)C(=O)C(OC)=CC4=O)CC3O</t>
  </si>
  <si>
    <t>Antifungal</t>
  </si>
  <si>
    <t>JMC98_41_3276B</t>
  </si>
  <si>
    <t>CCN(CC)CCOc1ccc(Nc2ncc3cc(-c4c(Cl)cccc4Cl)c(=O)n(C)c3n2)cc1</t>
  </si>
  <si>
    <t>JMC98_41_3276A</t>
  </si>
  <si>
    <t>Cn1c(=O)c(-c2c(Cl)cccc2Cl)cc2cnc(N)nc21</t>
  </si>
  <si>
    <t>tyrosin kinase</t>
  </si>
  <si>
    <t>JMC98_41_3159B_SS</t>
  </si>
  <si>
    <t>CN(Cc1ccccc1)C(=O)[C@H](Cc1ccc2ccccc2c1)NC(=O)[C@@H]1CCCN1C(=O)Nc1ccccc1[N+](=O)[O-]</t>
  </si>
  <si>
    <t>JMC98_41_3159A_S</t>
  </si>
  <si>
    <t>COc1ccccc1CNC(=S)N1CCC[C@H]1C(=O)C(c1ccccc1)c1ccccc1</t>
  </si>
  <si>
    <t>NK1 receptor</t>
  </si>
  <si>
    <t>JMC98_41_1060B</t>
  </si>
  <si>
    <t>CN(c1nc2cc(Cl)ccc2c(=O)o1)c1ccccc1I</t>
  </si>
  <si>
    <t>JMC98_41_1060A</t>
  </si>
  <si>
    <t>O=c1oc(-c2ccccc2I)nc2ccccc12</t>
  </si>
  <si>
    <t>C1r Serine protease</t>
  </si>
  <si>
    <t>JMC98_41_1059B</t>
  </si>
  <si>
    <t>CCCCC1=C(c2ccc(CCc3ccccc3)cc2)N2CCCN=C2c2ccccc21</t>
  </si>
  <si>
    <t>JMC98_41_1059A</t>
  </si>
  <si>
    <t>C[Si](C)(C)c1ccc(C2=Cc3ccccc3C3=NCCCN23)cc1</t>
  </si>
  <si>
    <t>TNFalpha reporter gene</t>
  </si>
  <si>
    <t>CGS27023A</t>
  </si>
  <si>
    <t>COc1ccc(S(=O)(=O)N(Cc2cccnc2)[C@@H](C(=O)NO)C(C)C)cc1</t>
  </si>
  <si>
    <t>JMC97_40_2525A</t>
  </si>
  <si>
    <t>COc1ccc(S(=O)(=O)N(CC(=O)NO)CC(C)C)cc1</t>
  </si>
  <si>
    <t>Stromelysin</t>
  </si>
  <si>
    <t>SB218795</t>
  </si>
  <si>
    <t>JMC97_40_1794A</t>
  </si>
  <si>
    <t>COc1ccc2c(C(=O)NCc3ccccc3)cc(-c3ccccc3)nc2c1</t>
  </si>
  <si>
    <t>NK3 receptors</t>
  </si>
  <si>
    <t>BOMC98_8_3335B</t>
  </si>
  <si>
    <t>Nc1cc(OCc2ccccc2)c2c(-c3ccncc3)c(-c3ccc(F)cc3)[nH]c2n1</t>
  </si>
  <si>
    <t>SB203580</t>
  </si>
  <si>
    <t>CS(=O)c1ccc(-c2nc(-c3ccc(F)cc3)c(-c3ccncc3)[nH]2)cc1</t>
  </si>
  <si>
    <t>MAP Kinase p38</t>
  </si>
  <si>
    <t>BMCL98_8_3367B</t>
  </si>
  <si>
    <t>CCCCC1Oc2ccc(F)cc2-c2ccc3c(c21)C(C)=CC(C)(C)N3</t>
  </si>
  <si>
    <t>BMCL98_8_3367A</t>
  </si>
  <si>
    <t>CC1=CC(C)(C)Nc2ccc3c(c21)COc1ccccc1-3</t>
  </si>
  <si>
    <t>Progesterone receptors</t>
  </si>
  <si>
    <t>BOMCL98_6_2061B</t>
  </si>
  <si>
    <t>C=C[C@@]1(C)CC(=O)[C@@]2(O)[C@](C)(O1)C(OC(=O)COC=O)C(O)C1C(C)(C)CC[C@H](O)[C@@]12C</t>
  </si>
  <si>
    <t>Forskolin</t>
  </si>
  <si>
    <t>C=C[C@@]1(C)CC(=O)[C@@]2(O)[C@](C)(O1)C(OC(C)=O)C(O)C1C(C)(C)CC[C@H](O)[C@@]12C</t>
  </si>
  <si>
    <t>positive inotropic activity</t>
  </si>
  <si>
    <t>SQ13297</t>
  </si>
  <si>
    <t>C[C@H](CC(=O)O)C(=O)N1CCC[C@H]1C(=O)O</t>
  </si>
  <si>
    <t>Angiotensin Converting Enzyme</t>
  </si>
  <si>
    <t>HALOPERIDOL</t>
  </si>
  <si>
    <t>O=C(CCCN1CCC(O)(c2ccc(Cl)cc2)CC1)c1ccc(F)cc1</t>
  </si>
  <si>
    <t>R1187</t>
  </si>
  <si>
    <t>CCOC(=O)C1(c2ccccc2)CCN(CCCC(=O)c2ccccc2)CC1</t>
  </si>
  <si>
    <t>BENPERIDOL</t>
  </si>
  <si>
    <t>O=C(CCCN1CCC(n2c(=O)[nH]c3ccccc32)CC1)c1ccc(F)cc1</t>
  </si>
  <si>
    <t>PIMOZIDE</t>
  </si>
  <si>
    <t>O=c1[nH]c2ccccc2n1C1CCN(CCCC(c2ccc(F)cc2)c2ccc(F)cc2)CC1</t>
  </si>
  <si>
    <t>PENFLURIDOL</t>
  </si>
  <si>
    <t>OC1(Cc2ccc(Cl)c(C(F)(F)F)c2)CCN(CCCC(c2ccc(F)cc2)c2ccc(F)cc2)CC1</t>
  </si>
  <si>
    <t xml:space="preserve"> </t>
  </si>
  <si>
    <t>DOI_present_filtered</t>
  </si>
  <si>
    <t>DOI_present_unfiltered</t>
  </si>
  <si>
    <t>Retrieved</t>
  </si>
  <si>
    <t>DOI_present_regex_1</t>
  </si>
  <si>
    <t>Regex dropped</t>
  </si>
  <si>
    <t>Pairing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</si>
</sst>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3336-7233-4D93-8017-452EE45ABAC8}">
  <dimension ref="A1:T223"/>
  <sheetViews>
    <sheetView tabSelected="1" topLeftCell="M1" zoomScale="130" zoomScaleNormal="130" workbookViewId="0">
      <selection activeCell="O21" sqref="O21"/>
    </sheetView>
  </sheetViews>
  <sheetFormatPr defaultRowHeight="14.4" x14ac:dyDescent="0.3"/>
  <cols>
    <col min="1" max="1" width="11.6640625" customWidth="1"/>
    <col min="2" max="2" width="14.6640625" customWidth="1"/>
    <col min="3" max="3" width="30.5546875" customWidth="1"/>
    <col min="4" max="4" width="11.6640625" customWidth="1"/>
    <col min="5" max="5" width="30.5546875" customWidth="1"/>
    <col min="6" max="10" width="11.6640625" customWidth="1"/>
    <col min="11" max="11" width="20" customWidth="1"/>
    <col min="12" max="12" width="11.6640625" customWidth="1"/>
    <col min="13" max="13" width="52.21875" customWidth="1"/>
    <col min="14" max="14" width="20" customWidth="1"/>
    <col min="15" max="17" width="18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1158</v>
      </c>
      <c r="P1" t="s">
        <v>1161</v>
      </c>
      <c r="Q1" t="s">
        <v>1159</v>
      </c>
      <c r="R1" t="s">
        <v>1160</v>
      </c>
      <c r="S1" t="s">
        <v>1162</v>
      </c>
      <c r="T1" t="s">
        <v>1163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 t="s">
        <v>17</v>
      </c>
      <c r="K2" t="s">
        <v>22</v>
      </c>
      <c r="L2" t="s">
        <v>23</v>
      </c>
      <c r="M2" t="s">
        <v>24</v>
      </c>
      <c r="O2" t="b">
        <v>0</v>
      </c>
      <c r="P2" t="b">
        <v>0</v>
      </c>
      <c r="Q2" t="b">
        <v>1</v>
      </c>
      <c r="R2">
        <f>IF(Q2,1,0)</f>
        <v>1</v>
      </c>
      <c r="S2">
        <f>IF(AND(Q2,NOT(P2)),1,0)</f>
        <v>1</v>
      </c>
      <c r="T2">
        <f>IF(AND(P2,NOT(O2)),1,0)</f>
        <v>0</v>
      </c>
    </row>
    <row r="3" spans="1:20" x14ac:dyDescent="0.3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19</v>
      </c>
      <c r="G3" t="s">
        <v>29</v>
      </c>
      <c r="H3" t="s">
        <v>21</v>
      </c>
      <c r="I3">
        <v>2</v>
      </c>
      <c r="J3" t="s">
        <v>30</v>
      </c>
      <c r="K3" t="s">
        <v>31</v>
      </c>
      <c r="L3">
        <v>15</v>
      </c>
      <c r="M3" t="s">
        <v>32</v>
      </c>
      <c r="O3" t="b">
        <v>1</v>
      </c>
      <c r="P3" t="b">
        <v>1</v>
      </c>
      <c r="Q3" t="b">
        <v>1</v>
      </c>
      <c r="R3">
        <f t="shared" ref="R3:R66" si="0">IF(Q3,1,0)</f>
        <v>1</v>
      </c>
      <c r="S3">
        <f t="shared" ref="S3:S66" si="1">IF(AND(Q3,NOT(P3)),1,0)</f>
        <v>0</v>
      </c>
      <c r="T3">
        <f t="shared" ref="T3:T66" si="2">IF(AND(P3,NOT(O3)),1,0)</f>
        <v>0</v>
      </c>
    </row>
    <row r="4" spans="1:20" x14ac:dyDescent="0.3">
      <c r="A4" t="s">
        <v>14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 t="s">
        <v>21</v>
      </c>
      <c r="I4">
        <v>3</v>
      </c>
      <c r="J4" t="s">
        <v>35</v>
      </c>
      <c r="K4" t="s">
        <v>22</v>
      </c>
      <c r="L4">
        <v>16</v>
      </c>
      <c r="M4" t="s">
        <v>38</v>
      </c>
      <c r="O4" t="b">
        <v>1</v>
      </c>
      <c r="P4" t="b">
        <v>1</v>
      </c>
      <c r="Q4" t="b">
        <v>1</v>
      </c>
      <c r="R4">
        <f t="shared" si="0"/>
        <v>1</v>
      </c>
      <c r="S4">
        <f t="shared" si="1"/>
        <v>0</v>
      </c>
      <c r="T4">
        <f t="shared" si="2"/>
        <v>0</v>
      </c>
    </row>
    <row r="5" spans="1:20" x14ac:dyDescent="0.3">
      <c r="A5" t="s">
        <v>14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21</v>
      </c>
      <c r="I5">
        <v>4</v>
      </c>
      <c r="J5" t="s">
        <v>41</v>
      </c>
      <c r="K5" t="s">
        <v>45</v>
      </c>
      <c r="L5">
        <v>17</v>
      </c>
      <c r="M5" t="s">
        <v>46</v>
      </c>
      <c r="O5" t="b">
        <v>1</v>
      </c>
      <c r="P5" t="b">
        <v>1</v>
      </c>
      <c r="Q5" t="b">
        <v>1</v>
      </c>
      <c r="R5">
        <f t="shared" si="0"/>
        <v>1</v>
      </c>
      <c r="S5">
        <f t="shared" si="1"/>
        <v>0</v>
      </c>
      <c r="T5">
        <f t="shared" si="2"/>
        <v>0</v>
      </c>
    </row>
    <row r="6" spans="1:20" x14ac:dyDescent="0.3">
      <c r="A6" t="s">
        <v>14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21</v>
      </c>
      <c r="I6">
        <v>5</v>
      </c>
      <c r="J6" t="s">
        <v>49</v>
      </c>
      <c r="K6" t="s">
        <v>31</v>
      </c>
      <c r="L6">
        <v>18</v>
      </c>
      <c r="M6" t="s">
        <v>53</v>
      </c>
      <c r="O6" t="b">
        <v>1</v>
      </c>
      <c r="P6" t="b">
        <v>1</v>
      </c>
      <c r="Q6" t="b">
        <v>1</v>
      </c>
      <c r="R6">
        <f t="shared" si="0"/>
        <v>1</v>
      </c>
      <c r="S6">
        <f t="shared" si="1"/>
        <v>0</v>
      </c>
      <c r="T6">
        <f t="shared" si="2"/>
        <v>0</v>
      </c>
    </row>
    <row r="7" spans="1:20" x14ac:dyDescent="0.3">
      <c r="A7" t="s">
        <v>14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21</v>
      </c>
      <c r="I7">
        <v>6</v>
      </c>
      <c r="J7" t="s">
        <v>56</v>
      </c>
      <c r="K7" t="s">
        <v>60</v>
      </c>
      <c r="L7">
        <v>19</v>
      </c>
      <c r="M7" t="s">
        <v>61</v>
      </c>
      <c r="O7" t="b">
        <v>1</v>
      </c>
      <c r="P7" t="b">
        <v>1</v>
      </c>
      <c r="Q7" t="b">
        <v>1</v>
      </c>
      <c r="R7">
        <f t="shared" si="0"/>
        <v>1</v>
      </c>
      <c r="S7">
        <f t="shared" si="1"/>
        <v>0</v>
      </c>
      <c r="T7">
        <f t="shared" si="2"/>
        <v>0</v>
      </c>
    </row>
    <row r="8" spans="1:20" x14ac:dyDescent="0.3">
      <c r="A8" t="s">
        <v>14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21</v>
      </c>
      <c r="I8">
        <v>7</v>
      </c>
      <c r="J8" t="s">
        <v>64</v>
      </c>
      <c r="K8" t="s">
        <v>68</v>
      </c>
      <c r="L8" t="s">
        <v>69</v>
      </c>
      <c r="M8" t="s">
        <v>70</v>
      </c>
      <c r="O8" t="b">
        <v>0</v>
      </c>
      <c r="P8" t="b">
        <v>0</v>
      </c>
      <c r="Q8" t="b">
        <v>1</v>
      </c>
      <c r="R8">
        <f t="shared" si="0"/>
        <v>1</v>
      </c>
      <c r="S8">
        <f t="shared" si="1"/>
        <v>1</v>
      </c>
      <c r="T8">
        <f t="shared" si="2"/>
        <v>0</v>
      </c>
    </row>
    <row r="9" spans="1:20" x14ac:dyDescent="0.3">
      <c r="A9" t="s">
        <v>14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21</v>
      </c>
      <c r="I9">
        <v>8</v>
      </c>
      <c r="J9" t="s">
        <v>73</v>
      </c>
      <c r="K9" t="s">
        <v>77</v>
      </c>
      <c r="L9">
        <v>23</v>
      </c>
      <c r="M9" t="s">
        <v>78</v>
      </c>
      <c r="O9" t="b">
        <v>0</v>
      </c>
      <c r="P9" t="b">
        <v>0</v>
      </c>
      <c r="Q9" t="b">
        <v>1</v>
      </c>
      <c r="R9">
        <f t="shared" si="0"/>
        <v>1</v>
      </c>
      <c r="S9">
        <f t="shared" si="1"/>
        <v>1</v>
      </c>
      <c r="T9">
        <f t="shared" si="2"/>
        <v>0</v>
      </c>
    </row>
    <row r="10" spans="1:20" x14ac:dyDescent="0.3">
      <c r="A10" t="s">
        <v>14</v>
      </c>
      <c r="B10" t="s">
        <v>79</v>
      </c>
      <c r="C10" t="s">
        <v>80</v>
      </c>
      <c r="D10" t="s">
        <v>81</v>
      </c>
      <c r="E10" t="s">
        <v>81</v>
      </c>
      <c r="F10" t="s">
        <v>75</v>
      </c>
      <c r="G10" t="s">
        <v>82</v>
      </c>
      <c r="H10" t="s">
        <v>21</v>
      </c>
      <c r="I10">
        <v>9</v>
      </c>
      <c r="K10" t="s">
        <v>45</v>
      </c>
      <c r="L10">
        <v>24</v>
      </c>
      <c r="M10" t="s">
        <v>83</v>
      </c>
      <c r="O10" t="b">
        <v>0</v>
      </c>
      <c r="P10" t="b">
        <v>0</v>
      </c>
      <c r="Q10" t="b">
        <v>1</v>
      </c>
      <c r="R10">
        <f t="shared" si="0"/>
        <v>1</v>
      </c>
      <c r="S10">
        <f t="shared" si="1"/>
        <v>1</v>
      </c>
      <c r="T10">
        <f t="shared" si="2"/>
        <v>0</v>
      </c>
    </row>
    <row r="11" spans="1:20" x14ac:dyDescent="0.3">
      <c r="A11" t="s">
        <v>14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21</v>
      </c>
      <c r="I11">
        <v>10</v>
      </c>
      <c r="J11" t="s">
        <v>86</v>
      </c>
      <c r="K11" t="s">
        <v>45</v>
      </c>
      <c r="L11">
        <v>25</v>
      </c>
      <c r="M11" t="s">
        <v>90</v>
      </c>
      <c r="O11" t="b">
        <v>0</v>
      </c>
      <c r="P11" t="b">
        <v>0</v>
      </c>
      <c r="Q11" t="b">
        <v>1</v>
      </c>
      <c r="R11">
        <f t="shared" si="0"/>
        <v>1</v>
      </c>
      <c r="S11">
        <f t="shared" si="1"/>
        <v>1</v>
      </c>
      <c r="T11">
        <f t="shared" si="2"/>
        <v>0</v>
      </c>
    </row>
    <row r="12" spans="1:20" x14ac:dyDescent="0.3">
      <c r="A12" t="s">
        <v>14</v>
      </c>
      <c r="B12" t="s">
        <v>91</v>
      </c>
      <c r="C12" t="s">
        <v>92</v>
      </c>
      <c r="D12" t="s">
        <v>93</v>
      </c>
      <c r="E12" t="s">
        <v>94</v>
      </c>
      <c r="F12" t="s">
        <v>88</v>
      </c>
      <c r="G12" t="s">
        <v>95</v>
      </c>
      <c r="H12" t="s">
        <v>21</v>
      </c>
      <c r="I12">
        <v>11</v>
      </c>
      <c r="J12" t="s">
        <v>93</v>
      </c>
      <c r="K12" t="s">
        <v>60</v>
      </c>
      <c r="L12" t="s">
        <v>96</v>
      </c>
      <c r="M12" t="s">
        <v>97</v>
      </c>
      <c r="O12" t="b">
        <v>0</v>
      </c>
      <c r="P12" t="b">
        <v>0</v>
      </c>
      <c r="Q12" t="b">
        <v>1</v>
      </c>
      <c r="R12">
        <f t="shared" si="0"/>
        <v>1</v>
      </c>
      <c r="S12">
        <f t="shared" si="1"/>
        <v>1</v>
      </c>
      <c r="T12">
        <f t="shared" si="2"/>
        <v>0</v>
      </c>
    </row>
    <row r="13" spans="1:20" x14ac:dyDescent="0.3">
      <c r="A13" t="s">
        <v>14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21</v>
      </c>
      <c r="I13">
        <v>12</v>
      </c>
      <c r="J13" t="s">
        <v>100</v>
      </c>
      <c r="K13" t="s">
        <v>104</v>
      </c>
      <c r="L13" t="s">
        <v>105</v>
      </c>
      <c r="M13" t="s">
        <v>106</v>
      </c>
      <c r="O13" t="b">
        <v>1</v>
      </c>
      <c r="P13" t="b">
        <v>1</v>
      </c>
      <c r="Q13" t="b">
        <v>1</v>
      </c>
      <c r="R13">
        <f t="shared" si="0"/>
        <v>1</v>
      </c>
      <c r="S13">
        <f t="shared" si="1"/>
        <v>0</v>
      </c>
      <c r="T13">
        <f t="shared" si="2"/>
        <v>0</v>
      </c>
    </row>
    <row r="14" spans="1:20" x14ac:dyDescent="0.3">
      <c r="A14" t="s">
        <v>14</v>
      </c>
      <c r="B14" t="s">
        <v>107</v>
      </c>
      <c r="C14" t="s">
        <v>108</v>
      </c>
      <c r="D14" t="s">
        <v>109</v>
      </c>
      <c r="E14" t="s">
        <v>110</v>
      </c>
      <c r="F14" t="s">
        <v>102</v>
      </c>
      <c r="G14" t="s">
        <v>111</v>
      </c>
      <c r="H14" t="s">
        <v>21</v>
      </c>
      <c r="I14">
        <v>13</v>
      </c>
      <c r="J14" t="s">
        <v>109</v>
      </c>
      <c r="K14" t="s">
        <v>112</v>
      </c>
      <c r="L14" t="s">
        <v>113</v>
      </c>
      <c r="M14" t="s">
        <v>114</v>
      </c>
      <c r="O14" t="b">
        <v>1</v>
      </c>
      <c r="P14" t="b">
        <v>1</v>
      </c>
      <c r="Q14" t="b">
        <v>1</v>
      </c>
      <c r="R14">
        <f t="shared" si="0"/>
        <v>1</v>
      </c>
      <c r="S14">
        <f t="shared" si="1"/>
        <v>0</v>
      </c>
      <c r="T14">
        <f t="shared" si="2"/>
        <v>0</v>
      </c>
    </row>
    <row r="15" spans="1:20" x14ac:dyDescent="0.3">
      <c r="A15" t="s">
        <v>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21</v>
      </c>
      <c r="I15">
        <v>14</v>
      </c>
      <c r="J15" t="s">
        <v>117</v>
      </c>
      <c r="K15" t="s">
        <v>31</v>
      </c>
      <c r="L15" t="s">
        <v>121</v>
      </c>
      <c r="M15" t="s">
        <v>122</v>
      </c>
      <c r="O15" t="b">
        <v>0</v>
      </c>
      <c r="P15" t="b">
        <v>1</v>
      </c>
      <c r="Q15" t="b">
        <v>1</v>
      </c>
      <c r="R15">
        <f t="shared" si="0"/>
        <v>1</v>
      </c>
      <c r="S15">
        <f t="shared" si="1"/>
        <v>0</v>
      </c>
      <c r="T15">
        <f t="shared" si="2"/>
        <v>1</v>
      </c>
    </row>
    <row r="16" spans="1:20" x14ac:dyDescent="0.3">
      <c r="A16" t="s">
        <v>14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21</v>
      </c>
      <c r="I16">
        <v>15</v>
      </c>
      <c r="J16" t="s">
        <v>125</v>
      </c>
      <c r="K16" t="s">
        <v>31</v>
      </c>
      <c r="L16">
        <v>34</v>
      </c>
      <c r="M16" t="s">
        <v>129</v>
      </c>
      <c r="O16" t="b">
        <v>0</v>
      </c>
      <c r="P16" t="b">
        <v>0</v>
      </c>
      <c r="Q16" t="b">
        <v>1</v>
      </c>
      <c r="R16">
        <f t="shared" si="0"/>
        <v>1</v>
      </c>
      <c r="S16">
        <f t="shared" si="1"/>
        <v>1</v>
      </c>
      <c r="T16">
        <f t="shared" si="2"/>
        <v>0</v>
      </c>
    </row>
    <row r="17" spans="1:20" x14ac:dyDescent="0.3">
      <c r="A17" t="s">
        <v>14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21</v>
      </c>
      <c r="I17">
        <v>16</v>
      </c>
      <c r="J17" t="s">
        <v>132</v>
      </c>
      <c r="K17" t="s">
        <v>45</v>
      </c>
      <c r="L17">
        <v>35</v>
      </c>
      <c r="M17" t="s">
        <v>136</v>
      </c>
      <c r="O17" t="b">
        <v>0</v>
      </c>
      <c r="P17" t="b">
        <v>0</v>
      </c>
      <c r="Q17" t="b">
        <v>1</v>
      </c>
      <c r="R17">
        <f t="shared" si="0"/>
        <v>1</v>
      </c>
      <c r="S17">
        <f t="shared" si="1"/>
        <v>1</v>
      </c>
      <c r="T17">
        <f t="shared" si="2"/>
        <v>0</v>
      </c>
    </row>
    <row r="18" spans="1:20" x14ac:dyDescent="0.3">
      <c r="A18" t="s">
        <v>14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21</v>
      </c>
      <c r="I18">
        <v>17</v>
      </c>
      <c r="J18" t="s">
        <v>139</v>
      </c>
      <c r="K18" t="s">
        <v>104</v>
      </c>
      <c r="L18">
        <v>36</v>
      </c>
      <c r="M18" t="s">
        <v>143</v>
      </c>
      <c r="O18" t="b">
        <v>0</v>
      </c>
      <c r="P18" t="b">
        <v>0</v>
      </c>
      <c r="Q18" t="b">
        <v>1</v>
      </c>
      <c r="R18">
        <f t="shared" si="0"/>
        <v>1</v>
      </c>
      <c r="S18">
        <f t="shared" si="1"/>
        <v>1</v>
      </c>
      <c r="T18">
        <f t="shared" si="2"/>
        <v>0</v>
      </c>
    </row>
    <row r="19" spans="1:20" x14ac:dyDescent="0.3">
      <c r="A19" t="s">
        <v>14</v>
      </c>
      <c r="B19" t="s">
        <v>144</v>
      </c>
      <c r="C19" t="s">
        <v>145</v>
      </c>
      <c r="D19" t="s">
        <v>146</v>
      </c>
      <c r="E19" t="s">
        <v>147</v>
      </c>
      <c r="F19" t="s">
        <v>141</v>
      </c>
      <c r="G19" t="s">
        <v>148</v>
      </c>
      <c r="H19" t="s">
        <v>21</v>
      </c>
      <c r="I19">
        <v>18</v>
      </c>
      <c r="J19" t="s">
        <v>146</v>
      </c>
      <c r="K19" t="s">
        <v>31</v>
      </c>
      <c r="L19">
        <v>37</v>
      </c>
      <c r="M19" t="s">
        <v>149</v>
      </c>
      <c r="O19" t="b">
        <v>0</v>
      </c>
      <c r="P19" t="b">
        <v>0</v>
      </c>
      <c r="Q19" t="b">
        <v>1</v>
      </c>
      <c r="R19">
        <f t="shared" si="0"/>
        <v>1</v>
      </c>
      <c r="S19">
        <f t="shared" si="1"/>
        <v>1</v>
      </c>
      <c r="T19">
        <f t="shared" si="2"/>
        <v>0</v>
      </c>
    </row>
    <row r="20" spans="1:20" x14ac:dyDescent="0.3">
      <c r="A20" t="s">
        <v>14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21</v>
      </c>
      <c r="I20">
        <v>19</v>
      </c>
      <c r="J20" t="s">
        <v>152</v>
      </c>
      <c r="K20" t="s">
        <v>45</v>
      </c>
      <c r="L20" t="s">
        <v>156</v>
      </c>
      <c r="M20" t="s">
        <v>157</v>
      </c>
      <c r="O20" t="b">
        <v>0</v>
      </c>
      <c r="P20" t="b">
        <v>0</v>
      </c>
      <c r="Q20" t="b">
        <v>1</v>
      </c>
      <c r="R20">
        <f t="shared" si="0"/>
        <v>1</v>
      </c>
      <c r="S20">
        <f t="shared" si="1"/>
        <v>1</v>
      </c>
      <c r="T20">
        <f t="shared" si="2"/>
        <v>0</v>
      </c>
    </row>
    <row r="21" spans="1:20" x14ac:dyDescent="0.3">
      <c r="A21" t="s">
        <v>14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21</v>
      </c>
      <c r="I21">
        <v>20</v>
      </c>
      <c r="J21" t="s">
        <v>160</v>
      </c>
      <c r="K21" t="s">
        <v>31</v>
      </c>
      <c r="L21">
        <v>40</v>
      </c>
      <c r="M21" t="s">
        <v>164</v>
      </c>
      <c r="O21" t="b">
        <v>1</v>
      </c>
      <c r="P21" t="b">
        <v>0</v>
      </c>
      <c r="Q21" t="b">
        <v>1</v>
      </c>
      <c r="R21">
        <f t="shared" si="0"/>
        <v>1</v>
      </c>
      <c r="S21">
        <f t="shared" si="1"/>
        <v>1</v>
      </c>
      <c r="T21">
        <f t="shared" si="2"/>
        <v>0</v>
      </c>
    </row>
    <row r="22" spans="1:20" x14ac:dyDescent="0.3">
      <c r="A22" t="s">
        <v>14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>
        <v>21</v>
      </c>
      <c r="J22" t="s">
        <v>167</v>
      </c>
      <c r="K22" t="s">
        <v>31</v>
      </c>
      <c r="L22">
        <v>41</v>
      </c>
      <c r="M22" t="s">
        <v>172</v>
      </c>
      <c r="O22" t="b">
        <v>0</v>
      </c>
      <c r="P22" t="b">
        <v>0</v>
      </c>
      <c r="Q22" t="b">
        <v>1</v>
      </c>
      <c r="R22">
        <f t="shared" si="0"/>
        <v>1</v>
      </c>
      <c r="S22">
        <f t="shared" si="1"/>
        <v>1</v>
      </c>
      <c r="T22">
        <f t="shared" si="2"/>
        <v>0</v>
      </c>
    </row>
    <row r="23" spans="1:20" x14ac:dyDescent="0.3">
      <c r="A23" t="s">
        <v>14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171</v>
      </c>
      <c r="I23">
        <v>22</v>
      </c>
      <c r="J23" t="s">
        <v>175</v>
      </c>
      <c r="K23" t="s">
        <v>45</v>
      </c>
      <c r="L23">
        <v>42</v>
      </c>
      <c r="M23" t="s">
        <v>179</v>
      </c>
      <c r="O23" t="b">
        <v>1</v>
      </c>
      <c r="P23" t="b">
        <v>0</v>
      </c>
      <c r="Q23" t="b">
        <v>1</v>
      </c>
      <c r="R23">
        <f t="shared" si="0"/>
        <v>1</v>
      </c>
      <c r="S23">
        <f t="shared" si="1"/>
        <v>1</v>
      </c>
      <c r="T23">
        <f t="shared" si="2"/>
        <v>0</v>
      </c>
    </row>
    <row r="24" spans="1:20" x14ac:dyDescent="0.3">
      <c r="A24" t="s">
        <v>14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>
        <v>23</v>
      </c>
      <c r="J24" t="s">
        <v>182</v>
      </c>
      <c r="K24" t="s">
        <v>31</v>
      </c>
      <c r="L24" t="s">
        <v>187</v>
      </c>
      <c r="M24" t="s">
        <v>188</v>
      </c>
      <c r="O24" t="b">
        <v>1</v>
      </c>
      <c r="P24" t="b">
        <v>0</v>
      </c>
      <c r="Q24" t="b">
        <v>1</v>
      </c>
      <c r="R24">
        <f t="shared" si="0"/>
        <v>1</v>
      </c>
      <c r="S24">
        <f t="shared" si="1"/>
        <v>1</v>
      </c>
      <c r="T24">
        <f t="shared" si="2"/>
        <v>0</v>
      </c>
    </row>
    <row r="25" spans="1:20" x14ac:dyDescent="0.3">
      <c r="A25" t="s">
        <v>14</v>
      </c>
      <c r="B25" t="s">
        <v>189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 t="s">
        <v>195</v>
      </c>
      <c r="I25">
        <v>24</v>
      </c>
      <c r="J25" t="s">
        <v>191</v>
      </c>
      <c r="K25" t="s">
        <v>45</v>
      </c>
      <c r="L25" t="s">
        <v>196</v>
      </c>
      <c r="M25" t="s">
        <v>197</v>
      </c>
      <c r="O25" t="b">
        <v>0</v>
      </c>
      <c r="P25" t="b">
        <v>1</v>
      </c>
      <c r="Q25" t="b">
        <v>1</v>
      </c>
      <c r="R25">
        <f t="shared" si="0"/>
        <v>1</v>
      </c>
      <c r="S25">
        <f t="shared" si="1"/>
        <v>0</v>
      </c>
      <c r="T25">
        <f t="shared" si="2"/>
        <v>1</v>
      </c>
    </row>
    <row r="26" spans="1:20" x14ac:dyDescent="0.3">
      <c r="A26" t="s">
        <v>14</v>
      </c>
      <c r="B26" t="s">
        <v>198</v>
      </c>
      <c r="C26" t="s">
        <v>199</v>
      </c>
      <c r="D26" t="s">
        <v>200</v>
      </c>
      <c r="E26" t="s">
        <v>201</v>
      </c>
      <c r="F26" t="s">
        <v>202</v>
      </c>
      <c r="G26" t="s">
        <v>203</v>
      </c>
      <c r="H26" t="s">
        <v>195</v>
      </c>
      <c r="I26">
        <v>25</v>
      </c>
      <c r="J26" t="s">
        <v>200</v>
      </c>
      <c r="K26" t="s">
        <v>31</v>
      </c>
      <c r="L26" t="s">
        <v>204</v>
      </c>
      <c r="M26" t="s">
        <v>205</v>
      </c>
      <c r="O26" t="b">
        <v>0</v>
      </c>
      <c r="P26" t="b">
        <v>0</v>
      </c>
      <c r="Q26" t="b">
        <v>1</v>
      </c>
      <c r="R26">
        <f t="shared" si="0"/>
        <v>1</v>
      </c>
      <c r="S26">
        <f t="shared" si="1"/>
        <v>1</v>
      </c>
      <c r="T26">
        <f t="shared" si="2"/>
        <v>0</v>
      </c>
    </row>
    <row r="27" spans="1:20" x14ac:dyDescent="0.3">
      <c r="A27" t="s">
        <v>14</v>
      </c>
      <c r="B27" t="s">
        <v>206</v>
      </c>
      <c r="C27" t="s">
        <v>207</v>
      </c>
      <c r="D27" t="s">
        <v>208</v>
      </c>
      <c r="E27" t="s">
        <v>208</v>
      </c>
      <c r="F27" t="s">
        <v>209</v>
      </c>
      <c r="G27" t="s">
        <v>210</v>
      </c>
      <c r="H27" t="s">
        <v>211</v>
      </c>
      <c r="I27">
        <v>26</v>
      </c>
      <c r="K27" t="s">
        <v>45</v>
      </c>
      <c r="L27">
        <v>49</v>
      </c>
      <c r="M27" t="s">
        <v>212</v>
      </c>
      <c r="O27" t="b">
        <v>0</v>
      </c>
      <c r="P27" t="b">
        <v>0</v>
      </c>
      <c r="Q27" t="b">
        <v>1</v>
      </c>
      <c r="R27">
        <f t="shared" si="0"/>
        <v>1</v>
      </c>
      <c r="S27">
        <f t="shared" si="1"/>
        <v>1</v>
      </c>
      <c r="T27">
        <f t="shared" si="2"/>
        <v>0</v>
      </c>
    </row>
    <row r="28" spans="1:20" x14ac:dyDescent="0.3">
      <c r="A28" t="s">
        <v>14</v>
      </c>
      <c r="B28" t="s">
        <v>213</v>
      </c>
      <c r="C28" t="s">
        <v>214</v>
      </c>
      <c r="D28" t="s">
        <v>215</v>
      </c>
      <c r="E28" t="s">
        <v>216</v>
      </c>
      <c r="F28" t="s">
        <v>217</v>
      </c>
      <c r="G28" t="s">
        <v>213</v>
      </c>
      <c r="H28" t="s">
        <v>218</v>
      </c>
      <c r="I28">
        <v>27</v>
      </c>
      <c r="J28" t="s">
        <v>215</v>
      </c>
      <c r="K28" t="s">
        <v>45</v>
      </c>
      <c r="L28" t="s">
        <v>219</v>
      </c>
      <c r="M28" t="s">
        <v>220</v>
      </c>
      <c r="O28" t="b">
        <v>0</v>
      </c>
      <c r="P28" t="b">
        <v>0</v>
      </c>
      <c r="Q28" t="b">
        <v>0</v>
      </c>
      <c r="R28">
        <f t="shared" si="0"/>
        <v>0</v>
      </c>
      <c r="S28">
        <f t="shared" si="1"/>
        <v>0</v>
      </c>
      <c r="T28">
        <f t="shared" si="2"/>
        <v>0</v>
      </c>
    </row>
    <row r="29" spans="1:20" x14ac:dyDescent="0.3">
      <c r="A29" t="s">
        <v>14</v>
      </c>
      <c r="B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226</v>
      </c>
      <c r="H29" t="s">
        <v>218</v>
      </c>
      <c r="I29">
        <v>28</v>
      </c>
      <c r="J29" t="s">
        <v>223</v>
      </c>
      <c r="K29" t="s">
        <v>45</v>
      </c>
      <c r="L29">
        <v>52</v>
      </c>
      <c r="M29" t="s">
        <v>227</v>
      </c>
      <c r="O29" t="b">
        <v>0</v>
      </c>
      <c r="P29" t="b">
        <v>0</v>
      </c>
      <c r="Q29" t="b">
        <v>0</v>
      </c>
      <c r="R29">
        <f t="shared" si="0"/>
        <v>0</v>
      </c>
      <c r="S29">
        <f t="shared" si="1"/>
        <v>0</v>
      </c>
      <c r="T29">
        <f t="shared" si="2"/>
        <v>0</v>
      </c>
    </row>
    <row r="30" spans="1:20" x14ac:dyDescent="0.3">
      <c r="A30" t="s">
        <v>14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  <c r="H30" t="s">
        <v>234</v>
      </c>
      <c r="I30">
        <v>29</v>
      </c>
      <c r="J30" t="s">
        <v>230</v>
      </c>
      <c r="K30" t="s">
        <v>68</v>
      </c>
      <c r="L30">
        <v>53</v>
      </c>
      <c r="M30" t="s">
        <v>235</v>
      </c>
      <c r="O30" t="b">
        <v>1</v>
      </c>
      <c r="P30" t="b">
        <v>1</v>
      </c>
      <c r="Q30" t="b">
        <v>1</v>
      </c>
      <c r="R30">
        <f t="shared" si="0"/>
        <v>1</v>
      </c>
      <c r="S30">
        <f t="shared" si="1"/>
        <v>0</v>
      </c>
      <c r="T30">
        <f t="shared" si="2"/>
        <v>0</v>
      </c>
    </row>
    <row r="31" spans="1:20" x14ac:dyDescent="0.3">
      <c r="A31" t="s">
        <v>14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241</v>
      </c>
      <c r="H31" t="s">
        <v>242</v>
      </c>
      <c r="I31">
        <v>30</v>
      </c>
      <c r="J31" t="s">
        <v>238</v>
      </c>
      <c r="K31" t="s">
        <v>45</v>
      </c>
      <c r="L31">
        <v>54</v>
      </c>
      <c r="M31" t="s">
        <v>243</v>
      </c>
      <c r="O31" t="b">
        <v>0</v>
      </c>
      <c r="P31" t="b">
        <v>0</v>
      </c>
      <c r="Q31" t="b">
        <v>1</v>
      </c>
      <c r="R31">
        <f t="shared" si="0"/>
        <v>1</v>
      </c>
      <c r="S31">
        <f t="shared" si="1"/>
        <v>1</v>
      </c>
      <c r="T31">
        <f t="shared" si="2"/>
        <v>0</v>
      </c>
    </row>
    <row r="32" spans="1:20" x14ac:dyDescent="0.3">
      <c r="A32" t="s">
        <v>14</v>
      </c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250</v>
      </c>
      <c r="I32">
        <v>31</v>
      </c>
      <c r="J32" t="s">
        <v>246</v>
      </c>
      <c r="K32" t="s">
        <v>45</v>
      </c>
      <c r="L32" t="s">
        <v>251</v>
      </c>
      <c r="M32" t="s">
        <v>252</v>
      </c>
      <c r="O32" t="b">
        <v>0</v>
      </c>
      <c r="P32" t="b">
        <v>0</v>
      </c>
      <c r="Q32" t="b">
        <v>1</v>
      </c>
      <c r="R32">
        <f t="shared" si="0"/>
        <v>1</v>
      </c>
      <c r="S32">
        <f t="shared" si="1"/>
        <v>1</v>
      </c>
      <c r="T32">
        <f t="shared" si="2"/>
        <v>0</v>
      </c>
    </row>
    <row r="33" spans="1:20" x14ac:dyDescent="0.3">
      <c r="A33" t="s">
        <v>14</v>
      </c>
      <c r="B33" t="s">
        <v>253</v>
      </c>
      <c r="C33" t="s">
        <v>254</v>
      </c>
      <c r="D33" t="s">
        <v>255</v>
      </c>
      <c r="E33" t="s">
        <v>256</v>
      </c>
      <c r="F33" t="s">
        <v>257</v>
      </c>
      <c r="G33" t="s">
        <v>258</v>
      </c>
      <c r="H33" t="s">
        <v>259</v>
      </c>
      <c r="I33">
        <v>32</v>
      </c>
      <c r="J33" t="s">
        <v>255</v>
      </c>
      <c r="K33" t="s">
        <v>31</v>
      </c>
      <c r="L33">
        <v>57</v>
      </c>
      <c r="M33" t="s">
        <v>260</v>
      </c>
      <c r="O33" t="b">
        <v>1</v>
      </c>
      <c r="P33" t="b">
        <v>1</v>
      </c>
      <c r="Q33" t="b">
        <v>1</v>
      </c>
      <c r="R33">
        <f t="shared" si="0"/>
        <v>1</v>
      </c>
      <c r="S33">
        <f t="shared" si="1"/>
        <v>0</v>
      </c>
      <c r="T33">
        <f t="shared" si="2"/>
        <v>0</v>
      </c>
    </row>
    <row r="34" spans="1:20" x14ac:dyDescent="0.3">
      <c r="A34" t="s">
        <v>14</v>
      </c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267</v>
      </c>
      <c r="I34">
        <v>33</v>
      </c>
      <c r="J34" t="s">
        <v>263</v>
      </c>
      <c r="K34" t="s">
        <v>31</v>
      </c>
      <c r="L34">
        <v>58</v>
      </c>
      <c r="M34" t="s">
        <v>268</v>
      </c>
      <c r="O34" t="b">
        <v>0</v>
      </c>
      <c r="P34" t="b">
        <v>0</v>
      </c>
      <c r="Q34" t="b">
        <v>1</v>
      </c>
      <c r="R34">
        <f t="shared" si="0"/>
        <v>1</v>
      </c>
      <c r="S34">
        <f t="shared" si="1"/>
        <v>1</v>
      </c>
      <c r="T34">
        <f t="shared" si="2"/>
        <v>0</v>
      </c>
    </row>
    <row r="35" spans="1:20" x14ac:dyDescent="0.3">
      <c r="A35" t="s">
        <v>14</v>
      </c>
      <c r="B35" t="s">
        <v>269</v>
      </c>
      <c r="C35" t="s">
        <v>270</v>
      </c>
      <c r="D35" t="s">
        <v>271</v>
      </c>
      <c r="E35" t="s">
        <v>272</v>
      </c>
      <c r="G35" t="s">
        <v>273</v>
      </c>
      <c r="H35" t="s">
        <v>274</v>
      </c>
      <c r="I35">
        <v>34</v>
      </c>
      <c r="J35" t="s">
        <v>271</v>
      </c>
      <c r="K35" t="s">
        <v>104</v>
      </c>
      <c r="L35" t="s">
        <v>275</v>
      </c>
      <c r="M35" t="s">
        <v>276</v>
      </c>
      <c r="O35" t="b">
        <v>0</v>
      </c>
      <c r="P35" t="b">
        <v>0</v>
      </c>
      <c r="Q35" t="b">
        <v>1</v>
      </c>
      <c r="R35">
        <f t="shared" si="0"/>
        <v>1</v>
      </c>
      <c r="S35">
        <f t="shared" si="1"/>
        <v>1</v>
      </c>
      <c r="T35">
        <f t="shared" si="2"/>
        <v>0</v>
      </c>
    </row>
    <row r="36" spans="1:20" x14ac:dyDescent="0.3">
      <c r="A36" t="s">
        <v>14</v>
      </c>
      <c r="B36" t="s">
        <v>277</v>
      </c>
      <c r="C36" t="s">
        <v>278</v>
      </c>
      <c r="D36" t="s">
        <v>279</v>
      </c>
      <c r="E36" t="s">
        <v>280</v>
      </c>
      <c r="G36" t="s">
        <v>277</v>
      </c>
      <c r="H36" t="s">
        <v>281</v>
      </c>
      <c r="I36">
        <v>35</v>
      </c>
      <c r="J36" t="s">
        <v>279</v>
      </c>
      <c r="K36" t="s">
        <v>31</v>
      </c>
      <c r="L36" t="s">
        <v>282</v>
      </c>
      <c r="M36" t="s">
        <v>283</v>
      </c>
      <c r="O36" t="b">
        <v>0</v>
      </c>
      <c r="P36" t="b">
        <v>1</v>
      </c>
      <c r="Q36" t="b">
        <v>1</v>
      </c>
      <c r="R36">
        <f t="shared" si="0"/>
        <v>1</v>
      </c>
      <c r="S36">
        <f t="shared" si="1"/>
        <v>0</v>
      </c>
      <c r="T36">
        <f t="shared" si="2"/>
        <v>1</v>
      </c>
    </row>
    <row r="37" spans="1:20" x14ac:dyDescent="0.3">
      <c r="A37" t="s">
        <v>14</v>
      </c>
      <c r="B37" t="s">
        <v>284</v>
      </c>
      <c r="C37" t="s">
        <v>285</v>
      </c>
      <c r="D37" t="s">
        <v>286</v>
      </c>
      <c r="E37" t="s">
        <v>286</v>
      </c>
      <c r="F37" t="s">
        <v>287</v>
      </c>
      <c r="G37" t="s">
        <v>288</v>
      </c>
      <c r="H37" t="s">
        <v>289</v>
      </c>
      <c r="I37">
        <v>36</v>
      </c>
      <c r="K37" t="s">
        <v>31</v>
      </c>
      <c r="L37">
        <v>63</v>
      </c>
      <c r="M37" t="s">
        <v>290</v>
      </c>
      <c r="O37" t="b">
        <v>0</v>
      </c>
      <c r="P37" t="b">
        <v>0</v>
      </c>
      <c r="Q37" t="b">
        <v>1</v>
      </c>
      <c r="R37">
        <f t="shared" si="0"/>
        <v>1</v>
      </c>
      <c r="S37">
        <f t="shared" si="1"/>
        <v>1</v>
      </c>
      <c r="T37">
        <f t="shared" si="2"/>
        <v>0</v>
      </c>
    </row>
    <row r="38" spans="1:20" x14ac:dyDescent="0.3">
      <c r="A38" t="s">
        <v>14</v>
      </c>
      <c r="B38" t="s">
        <v>291</v>
      </c>
      <c r="C38" t="s">
        <v>292</v>
      </c>
      <c r="D38" t="s">
        <v>293</v>
      </c>
      <c r="E38" t="s">
        <v>294</v>
      </c>
      <c r="F38" t="s">
        <v>295</v>
      </c>
      <c r="G38" t="s">
        <v>291</v>
      </c>
      <c r="H38" t="s">
        <v>296</v>
      </c>
      <c r="I38">
        <v>37</v>
      </c>
      <c r="J38" t="s">
        <v>293</v>
      </c>
      <c r="K38" t="s">
        <v>31</v>
      </c>
      <c r="L38">
        <v>64</v>
      </c>
      <c r="M38" t="s">
        <v>297</v>
      </c>
      <c r="O38" t="b">
        <v>0</v>
      </c>
      <c r="P38" t="b">
        <v>1</v>
      </c>
      <c r="Q38" t="b">
        <v>1</v>
      </c>
      <c r="R38">
        <f t="shared" si="0"/>
        <v>1</v>
      </c>
      <c r="S38">
        <f t="shared" si="1"/>
        <v>0</v>
      </c>
      <c r="T38">
        <f t="shared" si="2"/>
        <v>1</v>
      </c>
    </row>
    <row r="39" spans="1:20" x14ac:dyDescent="0.3">
      <c r="A39" t="s">
        <v>14</v>
      </c>
      <c r="B39" t="s">
        <v>298</v>
      </c>
      <c r="C39" t="s">
        <v>299</v>
      </c>
      <c r="D39" t="s">
        <v>300</v>
      </c>
      <c r="E39" t="s">
        <v>301</v>
      </c>
      <c r="F39" t="s">
        <v>302</v>
      </c>
      <c r="G39" t="s">
        <v>303</v>
      </c>
      <c r="H39" t="s">
        <v>304</v>
      </c>
      <c r="I39">
        <v>38</v>
      </c>
      <c r="J39" t="s">
        <v>300</v>
      </c>
      <c r="K39" t="s">
        <v>31</v>
      </c>
      <c r="L39" t="s">
        <v>305</v>
      </c>
      <c r="M39" t="s">
        <v>306</v>
      </c>
      <c r="O39" t="b">
        <v>1</v>
      </c>
      <c r="P39" t="b">
        <v>1</v>
      </c>
      <c r="Q39" t="b">
        <v>1</v>
      </c>
      <c r="R39">
        <f t="shared" si="0"/>
        <v>1</v>
      </c>
      <c r="S39">
        <f t="shared" si="1"/>
        <v>0</v>
      </c>
      <c r="T39">
        <f t="shared" si="2"/>
        <v>0</v>
      </c>
    </row>
    <row r="40" spans="1:20" x14ac:dyDescent="0.3">
      <c r="A40" t="s">
        <v>14</v>
      </c>
      <c r="B40" t="s">
        <v>307</v>
      </c>
      <c r="C40" t="s">
        <v>308</v>
      </c>
      <c r="D40" t="s">
        <v>309</v>
      </c>
      <c r="E40" t="s">
        <v>310</v>
      </c>
      <c r="F40" t="s">
        <v>311</v>
      </c>
      <c r="G40" t="s">
        <v>312</v>
      </c>
      <c r="H40" t="s">
        <v>313</v>
      </c>
      <c r="I40">
        <v>39</v>
      </c>
      <c r="J40" t="s">
        <v>309</v>
      </c>
      <c r="K40" t="s">
        <v>45</v>
      </c>
      <c r="L40" t="s">
        <v>314</v>
      </c>
      <c r="M40" t="s">
        <v>315</v>
      </c>
      <c r="O40" t="b">
        <v>1</v>
      </c>
      <c r="P40" t="b">
        <v>1</v>
      </c>
      <c r="Q40" t="b">
        <v>1</v>
      </c>
      <c r="R40">
        <f t="shared" si="0"/>
        <v>1</v>
      </c>
      <c r="S40">
        <f t="shared" si="1"/>
        <v>0</v>
      </c>
      <c r="T40">
        <f t="shared" si="2"/>
        <v>0</v>
      </c>
    </row>
    <row r="41" spans="1:20" x14ac:dyDescent="0.3">
      <c r="A41" t="s">
        <v>14</v>
      </c>
      <c r="B41" t="s">
        <v>316</v>
      </c>
      <c r="C41" t="s">
        <v>317</v>
      </c>
      <c r="D41" t="s">
        <v>318</v>
      </c>
      <c r="E41" t="s">
        <v>319</v>
      </c>
      <c r="F41" t="s">
        <v>320</v>
      </c>
      <c r="G41" t="s">
        <v>321</v>
      </c>
      <c r="H41" t="s">
        <v>313</v>
      </c>
      <c r="I41">
        <v>40</v>
      </c>
      <c r="J41" t="s">
        <v>318</v>
      </c>
      <c r="K41" t="s">
        <v>60</v>
      </c>
      <c r="L41" t="s">
        <v>322</v>
      </c>
      <c r="M41" t="s">
        <v>323</v>
      </c>
      <c r="O41" t="b">
        <v>0</v>
      </c>
      <c r="P41" t="b">
        <v>0</v>
      </c>
      <c r="Q41" t="b">
        <v>1</v>
      </c>
      <c r="R41">
        <f t="shared" si="0"/>
        <v>1</v>
      </c>
      <c r="S41">
        <f t="shared" si="1"/>
        <v>1</v>
      </c>
      <c r="T41">
        <f t="shared" si="2"/>
        <v>0</v>
      </c>
    </row>
    <row r="42" spans="1:20" x14ac:dyDescent="0.3">
      <c r="A42" t="s">
        <v>14</v>
      </c>
      <c r="B42" t="s">
        <v>324</v>
      </c>
      <c r="C42" t="s">
        <v>325</v>
      </c>
      <c r="D42" t="s">
        <v>326</v>
      </c>
      <c r="E42" t="s">
        <v>327</v>
      </c>
      <c r="F42" t="s">
        <v>328</v>
      </c>
      <c r="G42" t="s">
        <v>329</v>
      </c>
      <c r="H42" t="s">
        <v>330</v>
      </c>
      <c r="I42">
        <v>41</v>
      </c>
      <c r="J42" t="s">
        <v>326</v>
      </c>
      <c r="K42" t="s">
        <v>31</v>
      </c>
      <c r="L42">
        <v>71</v>
      </c>
      <c r="M42" t="s">
        <v>331</v>
      </c>
      <c r="O42" t="b">
        <v>0</v>
      </c>
      <c r="P42" t="b">
        <v>0</v>
      </c>
      <c r="Q42" t="b">
        <v>1</v>
      </c>
      <c r="R42">
        <f t="shared" si="0"/>
        <v>1</v>
      </c>
      <c r="S42">
        <f t="shared" si="1"/>
        <v>1</v>
      </c>
      <c r="T42">
        <f t="shared" si="2"/>
        <v>0</v>
      </c>
    </row>
    <row r="43" spans="1:20" x14ac:dyDescent="0.3">
      <c r="A43" t="s">
        <v>14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 t="s">
        <v>337</v>
      </c>
      <c r="H43" t="s">
        <v>330</v>
      </c>
      <c r="I43">
        <v>42</v>
      </c>
      <c r="J43" t="s">
        <v>334</v>
      </c>
      <c r="K43" t="s">
        <v>22</v>
      </c>
      <c r="L43">
        <v>72</v>
      </c>
      <c r="M43" t="s">
        <v>338</v>
      </c>
      <c r="O43" t="b">
        <v>0</v>
      </c>
      <c r="P43" t="b">
        <v>0</v>
      </c>
      <c r="Q43" t="b">
        <v>0</v>
      </c>
      <c r="R43">
        <f t="shared" si="0"/>
        <v>0</v>
      </c>
      <c r="S43">
        <f t="shared" si="1"/>
        <v>0</v>
      </c>
      <c r="T43">
        <f t="shared" si="2"/>
        <v>0</v>
      </c>
    </row>
    <row r="44" spans="1:20" x14ac:dyDescent="0.3">
      <c r="A44" t="s">
        <v>14</v>
      </c>
      <c r="B44" t="s">
        <v>339</v>
      </c>
      <c r="C44" t="s">
        <v>340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>
        <v>43</v>
      </c>
      <c r="J44" t="s">
        <v>341</v>
      </c>
      <c r="K44" t="s">
        <v>31</v>
      </c>
      <c r="L44">
        <v>73</v>
      </c>
      <c r="M44" t="s">
        <v>346</v>
      </c>
      <c r="O44" t="b">
        <v>0</v>
      </c>
      <c r="P44" t="b">
        <v>0</v>
      </c>
      <c r="Q44" t="b">
        <v>1</v>
      </c>
      <c r="R44">
        <f t="shared" si="0"/>
        <v>1</v>
      </c>
      <c r="S44">
        <f t="shared" si="1"/>
        <v>1</v>
      </c>
      <c r="T44">
        <f t="shared" si="2"/>
        <v>0</v>
      </c>
    </row>
    <row r="45" spans="1:20" x14ac:dyDescent="0.3">
      <c r="A45" t="s">
        <v>14</v>
      </c>
      <c r="B45" t="s">
        <v>347</v>
      </c>
      <c r="C45" t="s">
        <v>348</v>
      </c>
      <c r="D45" t="s">
        <v>349</v>
      </c>
      <c r="E45" t="s">
        <v>350</v>
      </c>
      <c r="F45" t="s">
        <v>351</v>
      </c>
      <c r="G45" t="s">
        <v>347</v>
      </c>
      <c r="H45" t="s">
        <v>352</v>
      </c>
      <c r="I45">
        <v>44</v>
      </c>
      <c r="J45" t="s">
        <v>349</v>
      </c>
      <c r="K45" t="s">
        <v>45</v>
      </c>
      <c r="L45">
        <v>74</v>
      </c>
      <c r="M45" t="s">
        <v>353</v>
      </c>
      <c r="O45" t="b">
        <v>1</v>
      </c>
      <c r="P45" t="b">
        <v>1</v>
      </c>
      <c r="Q45" t="b">
        <v>1</v>
      </c>
      <c r="R45">
        <f t="shared" si="0"/>
        <v>1</v>
      </c>
      <c r="S45">
        <f t="shared" si="1"/>
        <v>0</v>
      </c>
      <c r="T45">
        <f t="shared" si="2"/>
        <v>0</v>
      </c>
    </row>
    <row r="46" spans="1:20" x14ac:dyDescent="0.3">
      <c r="A46" t="s">
        <v>14</v>
      </c>
      <c r="B46" t="s">
        <v>354</v>
      </c>
      <c r="C46" t="s">
        <v>355</v>
      </c>
      <c r="D46" t="s">
        <v>356</v>
      </c>
      <c r="E46" t="s">
        <v>357</v>
      </c>
      <c r="F46" t="s">
        <v>358</v>
      </c>
      <c r="G46" t="s">
        <v>359</v>
      </c>
      <c r="H46" t="s">
        <v>352</v>
      </c>
      <c r="I46">
        <v>45</v>
      </c>
      <c r="J46" t="s">
        <v>356</v>
      </c>
      <c r="K46" t="s">
        <v>45</v>
      </c>
      <c r="L46">
        <v>75</v>
      </c>
      <c r="M46" t="s">
        <v>360</v>
      </c>
      <c r="O46" t="b">
        <v>0</v>
      </c>
      <c r="P46" t="b">
        <v>0</v>
      </c>
      <c r="Q46" t="b">
        <v>1</v>
      </c>
      <c r="R46">
        <f t="shared" si="0"/>
        <v>1</v>
      </c>
      <c r="S46">
        <f t="shared" si="1"/>
        <v>1</v>
      </c>
      <c r="T46">
        <f t="shared" si="2"/>
        <v>0</v>
      </c>
    </row>
    <row r="47" spans="1:20" x14ac:dyDescent="0.3">
      <c r="A47" t="s">
        <v>14</v>
      </c>
      <c r="B47" t="s">
        <v>361</v>
      </c>
      <c r="C47" t="s">
        <v>362</v>
      </c>
      <c r="D47" t="s">
        <v>363</v>
      </c>
      <c r="E47" t="s">
        <v>364</v>
      </c>
      <c r="F47" t="s">
        <v>365</v>
      </c>
      <c r="G47" t="s">
        <v>366</v>
      </c>
      <c r="H47" t="s">
        <v>367</v>
      </c>
      <c r="I47">
        <v>46</v>
      </c>
      <c r="J47" t="s">
        <v>363</v>
      </c>
      <c r="K47" t="s">
        <v>45</v>
      </c>
      <c r="L47" t="s">
        <v>368</v>
      </c>
      <c r="M47" t="s">
        <v>369</v>
      </c>
      <c r="O47" t="b">
        <v>0</v>
      </c>
      <c r="P47" t="b">
        <v>0</v>
      </c>
      <c r="Q47" t="b">
        <v>1</v>
      </c>
      <c r="R47">
        <f t="shared" si="0"/>
        <v>1</v>
      </c>
      <c r="S47">
        <f t="shared" si="1"/>
        <v>1</v>
      </c>
      <c r="T47">
        <f t="shared" si="2"/>
        <v>0</v>
      </c>
    </row>
    <row r="48" spans="1:20" x14ac:dyDescent="0.3">
      <c r="A48" t="s">
        <v>14</v>
      </c>
      <c r="B48" t="s">
        <v>370</v>
      </c>
      <c r="C48" t="s">
        <v>371</v>
      </c>
      <c r="D48" t="s">
        <v>372</v>
      </c>
      <c r="E48" t="s">
        <v>373</v>
      </c>
      <c r="F48" t="s">
        <v>374</v>
      </c>
      <c r="G48" t="s">
        <v>375</v>
      </c>
      <c r="H48" t="s">
        <v>367</v>
      </c>
      <c r="I48">
        <v>47</v>
      </c>
      <c r="J48" t="s">
        <v>372</v>
      </c>
      <c r="K48" t="s">
        <v>31</v>
      </c>
      <c r="L48" t="s">
        <v>376</v>
      </c>
      <c r="M48" t="s">
        <v>377</v>
      </c>
      <c r="O48" t="b">
        <v>1</v>
      </c>
      <c r="P48" t="b">
        <v>1</v>
      </c>
      <c r="Q48" t="b">
        <v>1</v>
      </c>
      <c r="R48">
        <f t="shared" si="0"/>
        <v>1</v>
      </c>
      <c r="S48">
        <f t="shared" si="1"/>
        <v>0</v>
      </c>
      <c r="T48">
        <f t="shared" si="2"/>
        <v>0</v>
      </c>
    </row>
    <row r="49" spans="1:20" x14ac:dyDescent="0.3">
      <c r="A49" t="s">
        <v>14</v>
      </c>
      <c r="B49" t="s">
        <v>378</v>
      </c>
      <c r="C49" t="s">
        <v>379</v>
      </c>
      <c r="D49" t="s">
        <v>372</v>
      </c>
      <c r="E49" t="s">
        <v>373</v>
      </c>
      <c r="F49" t="s">
        <v>374</v>
      </c>
      <c r="G49" t="s">
        <v>378</v>
      </c>
      <c r="H49" t="s">
        <v>367</v>
      </c>
      <c r="I49">
        <v>48</v>
      </c>
      <c r="J49" t="s">
        <v>372</v>
      </c>
      <c r="K49" t="s">
        <v>31</v>
      </c>
      <c r="L49" t="s">
        <v>380</v>
      </c>
      <c r="M49" t="s">
        <v>381</v>
      </c>
      <c r="O49" t="b">
        <v>0</v>
      </c>
      <c r="P49" t="b">
        <v>1</v>
      </c>
      <c r="Q49" t="b">
        <v>1</v>
      </c>
      <c r="R49">
        <f t="shared" si="0"/>
        <v>1</v>
      </c>
      <c r="S49">
        <f t="shared" si="1"/>
        <v>0</v>
      </c>
      <c r="T49">
        <f t="shared" si="2"/>
        <v>1</v>
      </c>
    </row>
    <row r="50" spans="1:20" x14ac:dyDescent="0.3">
      <c r="A50" t="s">
        <v>14</v>
      </c>
      <c r="B50" t="s">
        <v>382</v>
      </c>
      <c r="C50" t="s">
        <v>383</v>
      </c>
      <c r="D50" t="s">
        <v>384</v>
      </c>
      <c r="E50" t="s">
        <v>385</v>
      </c>
      <c r="F50" t="s">
        <v>386</v>
      </c>
      <c r="G50" t="s">
        <v>387</v>
      </c>
      <c r="H50" t="s">
        <v>388</v>
      </c>
      <c r="I50">
        <v>49</v>
      </c>
      <c r="J50" t="s">
        <v>384</v>
      </c>
      <c r="K50" t="s">
        <v>45</v>
      </c>
      <c r="L50" t="s">
        <v>389</v>
      </c>
      <c r="M50" t="s">
        <v>390</v>
      </c>
      <c r="O50" t="b">
        <v>0</v>
      </c>
      <c r="P50" t="b">
        <v>0</v>
      </c>
      <c r="Q50" t="b">
        <v>0</v>
      </c>
      <c r="R50">
        <f t="shared" si="0"/>
        <v>0</v>
      </c>
      <c r="S50">
        <f t="shared" si="1"/>
        <v>0</v>
      </c>
      <c r="T50">
        <f t="shared" si="2"/>
        <v>0</v>
      </c>
    </row>
    <row r="51" spans="1:20" x14ac:dyDescent="0.3">
      <c r="A51" t="s">
        <v>14</v>
      </c>
      <c r="B51" t="s">
        <v>391</v>
      </c>
      <c r="C51" t="s">
        <v>392</v>
      </c>
      <c r="D51" t="s">
        <v>393</v>
      </c>
      <c r="E51" t="s">
        <v>393</v>
      </c>
      <c r="F51" t="s">
        <v>394</v>
      </c>
      <c r="G51" t="s">
        <v>395</v>
      </c>
      <c r="H51" t="s">
        <v>396</v>
      </c>
      <c r="I51">
        <v>50</v>
      </c>
      <c r="K51" t="s">
        <v>45</v>
      </c>
      <c r="L51">
        <v>86</v>
      </c>
      <c r="M51" t="s">
        <v>397</v>
      </c>
      <c r="O51" t="b">
        <v>0</v>
      </c>
      <c r="P51" t="b">
        <v>0</v>
      </c>
      <c r="Q51" t="b">
        <v>0</v>
      </c>
      <c r="R51">
        <f t="shared" si="0"/>
        <v>0</v>
      </c>
      <c r="S51">
        <f t="shared" si="1"/>
        <v>0</v>
      </c>
      <c r="T51">
        <f t="shared" si="2"/>
        <v>0</v>
      </c>
    </row>
    <row r="52" spans="1:20" x14ac:dyDescent="0.3">
      <c r="A52" t="s">
        <v>14</v>
      </c>
      <c r="B52" t="s">
        <v>398</v>
      </c>
      <c r="C52" t="s">
        <v>399</v>
      </c>
      <c r="D52" t="s">
        <v>400</v>
      </c>
      <c r="E52" t="s">
        <v>401</v>
      </c>
      <c r="F52" t="s">
        <v>402</v>
      </c>
      <c r="G52" t="s">
        <v>403</v>
      </c>
      <c r="H52" t="s">
        <v>404</v>
      </c>
      <c r="I52">
        <v>51</v>
      </c>
      <c r="J52" t="s">
        <v>400</v>
      </c>
      <c r="K52" t="s">
        <v>45</v>
      </c>
      <c r="L52" t="s">
        <v>405</v>
      </c>
      <c r="M52" t="s">
        <v>406</v>
      </c>
      <c r="O52" t="b">
        <v>0</v>
      </c>
      <c r="P52" t="b">
        <v>1</v>
      </c>
      <c r="Q52" t="b">
        <v>1</v>
      </c>
      <c r="R52">
        <f t="shared" si="0"/>
        <v>1</v>
      </c>
      <c r="S52">
        <f t="shared" si="1"/>
        <v>0</v>
      </c>
      <c r="T52">
        <f t="shared" si="2"/>
        <v>1</v>
      </c>
    </row>
    <row r="53" spans="1:20" x14ac:dyDescent="0.3">
      <c r="A53" t="s">
        <v>14</v>
      </c>
      <c r="B53" t="s">
        <v>407</v>
      </c>
      <c r="C53" t="s">
        <v>408</v>
      </c>
      <c r="D53" t="s">
        <v>409</v>
      </c>
      <c r="E53" t="s">
        <v>410</v>
      </c>
      <c r="F53" t="s">
        <v>411</v>
      </c>
      <c r="G53" t="s">
        <v>412</v>
      </c>
      <c r="H53" t="s">
        <v>413</v>
      </c>
      <c r="I53">
        <v>52</v>
      </c>
      <c r="J53" t="s">
        <v>409</v>
      </c>
      <c r="K53" t="s">
        <v>414</v>
      </c>
      <c r="L53">
        <v>89</v>
      </c>
      <c r="M53" t="s">
        <v>415</v>
      </c>
      <c r="O53" t="b">
        <v>0</v>
      </c>
      <c r="P53" t="b">
        <v>0</v>
      </c>
      <c r="Q53" t="b">
        <v>1</v>
      </c>
      <c r="R53">
        <f t="shared" si="0"/>
        <v>1</v>
      </c>
      <c r="S53">
        <f t="shared" si="1"/>
        <v>1</v>
      </c>
      <c r="T53">
        <f t="shared" si="2"/>
        <v>0</v>
      </c>
    </row>
    <row r="54" spans="1:20" x14ac:dyDescent="0.3">
      <c r="A54" t="s">
        <v>14</v>
      </c>
      <c r="B54" t="s">
        <v>416</v>
      </c>
      <c r="C54" t="s">
        <v>417</v>
      </c>
      <c r="D54" t="s">
        <v>418</v>
      </c>
      <c r="E54" t="s">
        <v>419</v>
      </c>
      <c r="F54" t="s">
        <v>420</v>
      </c>
      <c r="G54" t="s">
        <v>421</v>
      </c>
      <c r="H54" t="s">
        <v>422</v>
      </c>
      <c r="I54">
        <v>53</v>
      </c>
      <c r="J54" t="s">
        <v>418</v>
      </c>
      <c r="K54" t="s">
        <v>112</v>
      </c>
      <c r="L54" t="s">
        <v>423</v>
      </c>
      <c r="M54" t="s">
        <v>424</v>
      </c>
      <c r="O54" t="b">
        <v>0</v>
      </c>
      <c r="P54" t="b">
        <v>0</v>
      </c>
      <c r="Q54" t="b">
        <v>1</v>
      </c>
      <c r="R54">
        <f t="shared" si="0"/>
        <v>1</v>
      </c>
      <c r="S54">
        <f t="shared" si="1"/>
        <v>1</v>
      </c>
      <c r="T54">
        <f t="shared" si="2"/>
        <v>0</v>
      </c>
    </row>
    <row r="55" spans="1:20" x14ac:dyDescent="0.3">
      <c r="A55" t="s">
        <v>14</v>
      </c>
      <c r="B55" t="s">
        <v>425</v>
      </c>
      <c r="C55" t="s">
        <v>426</v>
      </c>
      <c r="D55" t="s">
        <v>427</v>
      </c>
      <c r="E55" t="s">
        <v>428</v>
      </c>
      <c r="F55" t="s">
        <v>429</v>
      </c>
      <c r="G55" t="s">
        <v>430</v>
      </c>
      <c r="H55" t="s">
        <v>422</v>
      </c>
      <c r="I55">
        <v>54</v>
      </c>
      <c r="J55" t="s">
        <v>431</v>
      </c>
      <c r="K55" t="s">
        <v>31</v>
      </c>
      <c r="L55">
        <v>93</v>
      </c>
      <c r="M55" t="s">
        <v>432</v>
      </c>
      <c r="O55" t="b">
        <v>0</v>
      </c>
      <c r="P55" t="b">
        <v>0</v>
      </c>
      <c r="Q55" t="b">
        <v>1</v>
      </c>
      <c r="R55">
        <f t="shared" si="0"/>
        <v>1</v>
      </c>
      <c r="S55">
        <f t="shared" si="1"/>
        <v>1</v>
      </c>
      <c r="T55">
        <f t="shared" si="2"/>
        <v>0</v>
      </c>
    </row>
    <row r="56" spans="1:20" x14ac:dyDescent="0.3">
      <c r="A56" t="s">
        <v>14</v>
      </c>
      <c r="B56" t="s">
        <v>433</v>
      </c>
      <c r="C56" t="s">
        <v>434</v>
      </c>
      <c r="D56" t="s">
        <v>435</v>
      </c>
      <c r="E56" t="s">
        <v>436</v>
      </c>
      <c r="G56" t="s">
        <v>437</v>
      </c>
      <c r="H56" t="s">
        <v>422</v>
      </c>
      <c r="I56">
        <v>55</v>
      </c>
      <c r="J56" t="s">
        <v>435</v>
      </c>
      <c r="K56" t="s">
        <v>104</v>
      </c>
      <c r="L56">
        <v>94</v>
      </c>
      <c r="M56" t="s">
        <v>438</v>
      </c>
      <c r="O56" t="b">
        <v>1</v>
      </c>
      <c r="P56" t="b">
        <v>0</v>
      </c>
      <c r="Q56" t="b">
        <v>1</v>
      </c>
      <c r="R56">
        <f t="shared" si="0"/>
        <v>1</v>
      </c>
      <c r="S56">
        <f t="shared" si="1"/>
        <v>1</v>
      </c>
      <c r="T56">
        <f t="shared" si="2"/>
        <v>0</v>
      </c>
    </row>
    <row r="57" spans="1:20" x14ac:dyDescent="0.3">
      <c r="A57" t="s">
        <v>14</v>
      </c>
      <c r="B57" t="s">
        <v>439</v>
      </c>
      <c r="C57" t="s">
        <v>440</v>
      </c>
      <c r="D57" t="s">
        <v>441</v>
      </c>
      <c r="E57" t="s">
        <v>442</v>
      </c>
      <c r="F57" t="s">
        <v>443</v>
      </c>
      <c r="G57" t="s">
        <v>444</v>
      </c>
      <c r="H57" t="s">
        <v>422</v>
      </c>
      <c r="I57">
        <v>56</v>
      </c>
      <c r="J57" t="s">
        <v>441</v>
      </c>
      <c r="K57" t="s">
        <v>45</v>
      </c>
      <c r="L57">
        <v>95</v>
      </c>
      <c r="M57" t="s">
        <v>445</v>
      </c>
      <c r="O57" t="b">
        <v>0</v>
      </c>
      <c r="P57" t="b">
        <v>0</v>
      </c>
      <c r="Q57" t="b">
        <v>1</v>
      </c>
      <c r="R57">
        <f t="shared" si="0"/>
        <v>1</v>
      </c>
      <c r="S57">
        <f t="shared" si="1"/>
        <v>1</v>
      </c>
      <c r="T57">
        <f t="shared" si="2"/>
        <v>0</v>
      </c>
    </row>
    <row r="58" spans="1:20" x14ac:dyDescent="0.3">
      <c r="A58" t="s">
        <v>14</v>
      </c>
      <c r="B58" t="s">
        <v>446</v>
      </c>
      <c r="C58" t="s">
        <v>447</v>
      </c>
      <c r="D58" t="s">
        <v>448</v>
      </c>
      <c r="E58" t="s">
        <v>449</v>
      </c>
      <c r="F58" t="s">
        <v>450</v>
      </c>
      <c r="G58" t="s">
        <v>451</v>
      </c>
      <c r="H58" t="s">
        <v>422</v>
      </c>
      <c r="I58">
        <v>57</v>
      </c>
      <c r="J58" t="s">
        <v>448</v>
      </c>
      <c r="K58" t="s">
        <v>60</v>
      </c>
      <c r="L58" t="s">
        <v>452</v>
      </c>
      <c r="M58" t="s">
        <v>453</v>
      </c>
      <c r="O58" t="b">
        <v>0</v>
      </c>
      <c r="P58" t="b">
        <v>0</v>
      </c>
      <c r="Q58" t="b">
        <v>1</v>
      </c>
      <c r="R58">
        <f t="shared" si="0"/>
        <v>1</v>
      </c>
      <c r="S58">
        <f t="shared" si="1"/>
        <v>1</v>
      </c>
      <c r="T58">
        <f t="shared" si="2"/>
        <v>0</v>
      </c>
    </row>
    <row r="59" spans="1:20" x14ac:dyDescent="0.3">
      <c r="A59" t="s">
        <v>14</v>
      </c>
      <c r="B59" t="s">
        <v>454</v>
      </c>
      <c r="C59" t="s">
        <v>455</v>
      </c>
      <c r="D59" t="s">
        <v>456</v>
      </c>
      <c r="E59" t="s">
        <v>457</v>
      </c>
      <c r="G59" t="s">
        <v>458</v>
      </c>
      <c r="H59" t="s">
        <v>459</v>
      </c>
      <c r="I59">
        <v>58</v>
      </c>
      <c r="J59" t="s">
        <v>456</v>
      </c>
      <c r="K59" t="s">
        <v>31</v>
      </c>
      <c r="L59">
        <v>98</v>
      </c>
      <c r="M59" t="s">
        <v>460</v>
      </c>
      <c r="O59" t="b">
        <v>0</v>
      </c>
      <c r="P59" t="b">
        <v>0</v>
      </c>
      <c r="Q59" t="b">
        <v>1</v>
      </c>
      <c r="R59">
        <f t="shared" si="0"/>
        <v>1</v>
      </c>
      <c r="S59">
        <f t="shared" si="1"/>
        <v>1</v>
      </c>
      <c r="T59">
        <f t="shared" si="2"/>
        <v>0</v>
      </c>
    </row>
    <row r="60" spans="1:20" x14ac:dyDescent="0.3">
      <c r="A60" t="s">
        <v>14</v>
      </c>
      <c r="B60" t="s">
        <v>461</v>
      </c>
      <c r="C60" t="s">
        <v>462</v>
      </c>
      <c r="D60" t="s">
        <v>463</v>
      </c>
      <c r="E60" t="s">
        <v>464</v>
      </c>
      <c r="F60" t="s">
        <v>465</v>
      </c>
      <c r="G60" t="s">
        <v>466</v>
      </c>
      <c r="H60" t="s">
        <v>467</v>
      </c>
      <c r="I60">
        <v>59</v>
      </c>
      <c r="J60" t="s">
        <v>463</v>
      </c>
      <c r="K60" t="s">
        <v>31</v>
      </c>
      <c r="L60">
        <v>99</v>
      </c>
      <c r="M60" t="s">
        <v>468</v>
      </c>
      <c r="O60" t="b">
        <v>0</v>
      </c>
      <c r="P60" t="b">
        <v>0</v>
      </c>
      <c r="Q60" t="b">
        <v>1</v>
      </c>
      <c r="R60">
        <f t="shared" si="0"/>
        <v>1</v>
      </c>
      <c r="S60">
        <f t="shared" si="1"/>
        <v>1</v>
      </c>
      <c r="T60">
        <f t="shared" si="2"/>
        <v>0</v>
      </c>
    </row>
    <row r="61" spans="1:20" x14ac:dyDescent="0.3">
      <c r="A61" t="s">
        <v>14</v>
      </c>
      <c r="B61" t="s">
        <v>469</v>
      </c>
      <c r="C61" t="s">
        <v>470</v>
      </c>
      <c r="D61" t="s">
        <v>471</v>
      </c>
      <c r="E61" t="s">
        <v>472</v>
      </c>
      <c r="F61" t="s">
        <v>473</v>
      </c>
      <c r="G61" t="s">
        <v>474</v>
      </c>
      <c r="H61" t="s">
        <v>475</v>
      </c>
      <c r="I61">
        <v>60</v>
      </c>
      <c r="J61" t="s">
        <v>476</v>
      </c>
      <c r="K61" t="s">
        <v>31</v>
      </c>
      <c r="L61">
        <v>100</v>
      </c>
      <c r="M61" t="s">
        <v>477</v>
      </c>
      <c r="O61" t="b">
        <v>0</v>
      </c>
      <c r="P61" t="b">
        <v>0</v>
      </c>
      <c r="Q61" t="b">
        <v>1</v>
      </c>
      <c r="R61">
        <f t="shared" si="0"/>
        <v>1</v>
      </c>
      <c r="S61">
        <f t="shared" si="1"/>
        <v>1</v>
      </c>
      <c r="T61">
        <f t="shared" si="2"/>
        <v>0</v>
      </c>
    </row>
    <row r="62" spans="1:20" x14ac:dyDescent="0.3">
      <c r="A62" t="s">
        <v>14</v>
      </c>
      <c r="B62" t="s">
        <v>478</v>
      </c>
      <c r="C62" t="s">
        <v>479</v>
      </c>
      <c r="D62" t="s">
        <v>480</v>
      </c>
      <c r="E62" t="s">
        <v>480</v>
      </c>
      <c r="F62" t="s">
        <v>481</v>
      </c>
      <c r="G62" t="s">
        <v>482</v>
      </c>
      <c r="H62" t="s">
        <v>483</v>
      </c>
      <c r="I62">
        <v>61</v>
      </c>
      <c r="K62" t="s">
        <v>484</v>
      </c>
      <c r="L62">
        <v>101</v>
      </c>
      <c r="M62" t="s">
        <v>485</v>
      </c>
      <c r="O62" t="b">
        <v>0</v>
      </c>
      <c r="P62" t="b">
        <v>0</v>
      </c>
      <c r="Q62" t="b">
        <v>1</v>
      </c>
      <c r="R62">
        <f t="shared" si="0"/>
        <v>1</v>
      </c>
      <c r="S62">
        <f t="shared" si="1"/>
        <v>1</v>
      </c>
      <c r="T62">
        <f t="shared" si="2"/>
        <v>0</v>
      </c>
    </row>
    <row r="63" spans="1:20" x14ac:dyDescent="0.3">
      <c r="A63" t="s">
        <v>14</v>
      </c>
      <c r="B63" t="s">
        <v>486</v>
      </c>
      <c r="C63" t="s">
        <v>487</v>
      </c>
      <c r="D63" t="s">
        <v>480</v>
      </c>
      <c r="E63" t="s">
        <v>480</v>
      </c>
      <c r="F63" t="s">
        <v>488</v>
      </c>
      <c r="G63" t="s">
        <v>489</v>
      </c>
      <c r="H63" t="s">
        <v>483</v>
      </c>
      <c r="I63">
        <v>62</v>
      </c>
      <c r="K63" t="s">
        <v>60</v>
      </c>
      <c r="L63">
        <v>102</v>
      </c>
      <c r="M63" t="s">
        <v>490</v>
      </c>
      <c r="O63" t="b">
        <v>1</v>
      </c>
      <c r="P63" t="b">
        <v>1</v>
      </c>
      <c r="Q63" t="b">
        <v>1</v>
      </c>
      <c r="R63">
        <f t="shared" si="0"/>
        <v>1</v>
      </c>
      <c r="S63">
        <f t="shared" si="1"/>
        <v>0</v>
      </c>
      <c r="T63">
        <f t="shared" si="2"/>
        <v>0</v>
      </c>
    </row>
    <row r="64" spans="1:20" x14ac:dyDescent="0.3">
      <c r="A64" t="s">
        <v>14</v>
      </c>
      <c r="B64" t="s">
        <v>491</v>
      </c>
      <c r="C64" t="s">
        <v>492</v>
      </c>
      <c r="D64" t="s">
        <v>493</v>
      </c>
      <c r="E64" t="s">
        <v>494</v>
      </c>
      <c r="F64" t="s">
        <v>495</v>
      </c>
      <c r="G64" t="s">
        <v>496</v>
      </c>
      <c r="H64" t="s">
        <v>483</v>
      </c>
      <c r="I64">
        <v>63</v>
      </c>
      <c r="J64" t="s">
        <v>493</v>
      </c>
      <c r="K64" t="s">
        <v>497</v>
      </c>
      <c r="L64">
        <v>103</v>
      </c>
      <c r="M64" t="s">
        <v>498</v>
      </c>
      <c r="O64" t="b">
        <v>1</v>
      </c>
      <c r="P64" t="b">
        <v>1</v>
      </c>
      <c r="Q64" t="b">
        <v>1</v>
      </c>
      <c r="R64">
        <f t="shared" si="0"/>
        <v>1</v>
      </c>
      <c r="S64">
        <f t="shared" si="1"/>
        <v>0</v>
      </c>
      <c r="T64">
        <f t="shared" si="2"/>
        <v>0</v>
      </c>
    </row>
    <row r="65" spans="1:20" x14ac:dyDescent="0.3">
      <c r="A65" t="s">
        <v>14</v>
      </c>
      <c r="B65" t="s">
        <v>499</v>
      </c>
      <c r="C65" t="s">
        <v>500</v>
      </c>
      <c r="D65" t="s">
        <v>501</v>
      </c>
      <c r="E65" t="s">
        <v>502</v>
      </c>
      <c r="F65" t="s">
        <v>503</v>
      </c>
      <c r="G65" t="s">
        <v>504</v>
      </c>
      <c r="H65" t="s">
        <v>483</v>
      </c>
      <c r="I65">
        <v>64</v>
      </c>
      <c r="J65" t="s">
        <v>501</v>
      </c>
      <c r="K65" t="s">
        <v>505</v>
      </c>
      <c r="L65">
        <v>104</v>
      </c>
      <c r="M65" t="s">
        <v>506</v>
      </c>
      <c r="O65" t="b">
        <v>0</v>
      </c>
      <c r="P65" t="b">
        <v>0</v>
      </c>
      <c r="Q65" t="b">
        <v>1</v>
      </c>
      <c r="R65">
        <f t="shared" si="0"/>
        <v>1</v>
      </c>
      <c r="S65">
        <f t="shared" si="1"/>
        <v>1</v>
      </c>
      <c r="T65">
        <f t="shared" si="2"/>
        <v>0</v>
      </c>
    </row>
    <row r="66" spans="1:20" x14ac:dyDescent="0.3">
      <c r="A66" t="s">
        <v>14</v>
      </c>
      <c r="B66" t="s">
        <v>507</v>
      </c>
      <c r="C66" t="s">
        <v>508</v>
      </c>
      <c r="D66" t="s">
        <v>509</v>
      </c>
      <c r="E66" t="s">
        <v>510</v>
      </c>
      <c r="F66" t="s">
        <v>511</v>
      </c>
      <c r="G66" t="s">
        <v>512</v>
      </c>
      <c r="H66" t="s">
        <v>483</v>
      </c>
      <c r="I66">
        <v>65</v>
      </c>
      <c r="J66" t="s">
        <v>509</v>
      </c>
      <c r="K66" t="s">
        <v>22</v>
      </c>
      <c r="L66">
        <v>105</v>
      </c>
      <c r="M66" t="s">
        <v>513</v>
      </c>
      <c r="O66" t="b">
        <v>1</v>
      </c>
      <c r="P66" t="b">
        <v>1</v>
      </c>
      <c r="Q66" t="b">
        <v>1</v>
      </c>
      <c r="R66">
        <f t="shared" si="0"/>
        <v>1</v>
      </c>
      <c r="S66">
        <f t="shared" si="1"/>
        <v>0</v>
      </c>
      <c r="T66">
        <f t="shared" si="2"/>
        <v>0</v>
      </c>
    </row>
    <row r="67" spans="1:20" x14ac:dyDescent="0.3">
      <c r="A67" t="s">
        <v>14</v>
      </c>
      <c r="B67" t="s">
        <v>514</v>
      </c>
      <c r="C67" t="s">
        <v>515</v>
      </c>
      <c r="D67" t="s">
        <v>516</v>
      </c>
      <c r="E67" t="s">
        <v>517</v>
      </c>
      <c r="F67" t="s">
        <v>518</v>
      </c>
      <c r="G67" t="s">
        <v>519</v>
      </c>
      <c r="H67" t="s">
        <v>520</v>
      </c>
      <c r="I67">
        <v>66</v>
      </c>
      <c r="J67" t="s">
        <v>516</v>
      </c>
      <c r="K67" t="s">
        <v>60</v>
      </c>
      <c r="L67" s="1">
        <v>106107</v>
      </c>
      <c r="M67" t="s">
        <v>521</v>
      </c>
      <c r="O67" t="b">
        <v>0</v>
      </c>
      <c r="P67" t="b">
        <v>0</v>
      </c>
      <c r="Q67" t="b">
        <v>1</v>
      </c>
      <c r="R67">
        <f t="shared" ref="R67:R68" si="3">IF(Q67,1,0)</f>
        <v>1</v>
      </c>
      <c r="S67">
        <f t="shared" ref="S67:S68" si="4">IF(AND(Q67,NOT(P67)),1,0)</f>
        <v>1</v>
      </c>
      <c r="T67">
        <f t="shared" ref="T67:T130" si="5">IF(AND(P67,NOT(O67)),1,0)</f>
        <v>0</v>
      </c>
    </row>
    <row r="68" spans="1:20" x14ac:dyDescent="0.3">
      <c r="A68" t="s">
        <v>522</v>
      </c>
      <c r="B68" t="s">
        <v>523</v>
      </c>
      <c r="C68" t="s">
        <v>524</v>
      </c>
      <c r="D68" t="s">
        <v>525</v>
      </c>
      <c r="E68" t="s">
        <v>526</v>
      </c>
      <c r="F68" t="s">
        <v>1157</v>
      </c>
      <c r="N68" t="s">
        <v>523</v>
      </c>
      <c r="R68">
        <f>SUM(R2:R67)</f>
        <v>61</v>
      </c>
      <c r="S68">
        <f t="shared" ref="S68:T68" si="6">SUM(S2:S67)</f>
        <v>39</v>
      </c>
      <c r="T68">
        <f t="shared" si="6"/>
        <v>6</v>
      </c>
    </row>
    <row r="69" spans="1:20" x14ac:dyDescent="0.3">
      <c r="A69" t="s">
        <v>522</v>
      </c>
      <c r="B69" t="s">
        <v>527</v>
      </c>
      <c r="C69" t="s">
        <v>528</v>
      </c>
      <c r="D69" t="s">
        <v>529</v>
      </c>
      <c r="E69" t="s">
        <v>530</v>
      </c>
      <c r="F69" t="s">
        <v>1157</v>
      </c>
      <c r="N69" t="s">
        <v>527</v>
      </c>
    </row>
    <row r="70" spans="1:20" x14ac:dyDescent="0.3">
      <c r="A70" t="s">
        <v>522</v>
      </c>
      <c r="B70" t="s">
        <v>531</v>
      </c>
      <c r="C70" t="s">
        <v>532</v>
      </c>
      <c r="D70" t="s">
        <v>533</v>
      </c>
      <c r="E70" t="s">
        <v>534</v>
      </c>
      <c r="F70" t="s">
        <v>1157</v>
      </c>
      <c r="N70" t="s">
        <v>531</v>
      </c>
    </row>
    <row r="71" spans="1:20" x14ac:dyDescent="0.3">
      <c r="A71" t="s">
        <v>522</v>
      </c>
      <c r="B71" t="s">
        <v>535</v>
      </c>
      <c r="C71" t="s">
        <v>536</v>
      </c>
      <c r="D71" t="s">
        <v>537</v>
      </c>
      <c r="E71" t="s">
        <v>538</v>
      </c>
      <c r="F71" t="s">
        <v>1157</v>
      </c>
      <c r="N71" t="s">
        <v>535</v>
      </c>
    </row>
    <row r="72" spans="1:20" x14ac:dyDescent="0.3">
      <c r="A72" t="s">
        <v>522</v>
      </c>
      <c r="B72" t="s">
        <v>539</v>
      </c>
      <c r="C72" t="s">
        <v>540</v>
      </c>
      <c r="D72" t="s">
        <v>541</v>
      </c>
      <c r="E72" t="s">
        <v>542</v>
      </c>
      <c r="F72" t="s">
        <v>1157</v>
      </c>
      <c r="N72" t="s">
        <v>539</v>
      </c>
    </row>
    <row r="73" spans="1:20" x14ac:dyDescent="0.3">
      <c r="A73" t="s">
        <v>522</v>
      </c>
      <c r="B73" t="s">
        <v>543</v>
      </c>
      <c r="C73" t="s">
        <v>544</v>
      </c>
      <c r="D73" t="s">
        <v>545</v>
      </c>
      <c r="E73" t="s">
        <v>546</v>
      </c>
      <c r="F73" t="s">
        <v>1157</v>
      </c>
      <c r="N73" t="s">
        <v>543</v>
      </c>
    </row>
    <row r="74" spans="1:20" x14ac:dyDescent="0.3">
      <c r="A74" t="s">
        <v>522</v>
      </c>
      <c r="B74" t="s">
        <v>547</v>
      </c>
      <c r="C74" t="s">
        <v>548</v>
      </c>
      <c r="D74" t="s">
        <v>549</v>
      </c>
      <c r="E74" t="s">
        <v>550</v>
      </c>
      <c r="F74" t="s">
        <v>1157</v>
      </c>
      <c r="N74" t="s">
        <v>547</v>
      </c>
    </row>
    <row r="75" spans="1:20" x14ac:dyDescent="0.3">
      <c r="A75" t="s">
        <v>522</v>
      </c>
      <c r="B75" t="s">
        <v>551</v>
      </c>
      <c r="C75" t="s">
        <v>552</v>
      </c>
      <c r="D75" t="s">
        <v>553</v>
      </c>
      <c r="E75" t="s">
        <v>554</v>
      </c>
      <c r="F75" t="s">
        <v>1157</v>
      </c>
      <c r="N75" t="s">
        <v>551</v>
      </c>
    </row>
    <row r="76" spans="1:20" x14ac:dyDescent="0.3">
      <c r="A76" t="s">
        <v>522</v>
      </c>
      <c r="B76" t="s">
        <v>555</v>
      </c>
      <c r="C76" t="s">
        <v>556</v>
      </c>
      <c r="D76" t="s">
        <v>557</v>
      </c>
      <c r="E76" t="s">
        <v>558</v>
      </c>
      <c r="F76" t="s">
        <v>1157</v>
      </c>
      <c r="N76" t="s">
        <v>555</v>
      </c>
    </row>
    <row r="77" spans="1:20" x14ac:dyDescent="0.3">
      <c r="A77" t="s">
        <v>522</v>
      </c>
      <c r="B77" t="s">
        <v>559</v>
      </c>
      <c r="C77" t="s">
        <v>560</v>
      </c>
      <c r="D77" t="s">
        <v>561</v>
      </c>
      <c r="E77" t="s">
        <v>562</v>
      </c>
      <c r="F77" t="s">
        <v>1157</v>
      </c>
      <c r="N77" t="s">
        <v>559</v>
      </c>
    </row>
    <row r="78" spans="1:20" x14ac:dyDescent="0.3">
      <c r="A78" t="s">
        <v>522</v>
      </c>
      <c r="B78" t="s">
        <v>563</v>
      </c>
      <c r="C78" t="s">
        <v>564</v>
      </c>
      <c r="D78" t="s">
        <v>565</v>
      </c>
      <c r="E78" t="s">
        <v>566</v>
      </c>
      <c r="F78" t="s">
        <v>1157</v>
      </c>
      <c r="N78" t="s">
        <v>563</v>
      </c>
    </row>
    <row r="79" spans="1:20" x14ac:dyDescent="0.3">
      <c r="A79" t="s">
        <v>522</v>
      </c>
      <c r="B79" t="s">
        <v>567</v>
      </c>
      <c r="C79" t="s">
        <v>568</v>
      </c>
      <c r="D79" t="s">
        <v>569</v>
      </c>
      <c r="E79" t="s">
        <v>570</v>
      </c>
      <c r="F79" t="s">
        <v>1157</v>
      </c>
      <c r="N79" t="s">
        <v>567</v>
      </c>
    </row>
    <row r="80" spans="1:20" x14ac:dyDescent="0.3">
      <c r="A80" t="s">
        <v>522</v>
      </c>
      <c r="B80" t="s">
        <v>571</v>
      </c>
      <c r="C80" t="s">
        <v>572</v>
      </c>
      <c r="D80" t="s">
        <v>573</v>
      </c>
      <c r="E80" t="s">
        <v>574</v>
      </c>
      <c r="F80" t="s">
        <v>1157</v>
      </c>
      <c r="N80" t="s">
        <v>571</v>
      </c>
    </row>
    <row r="81" spans="1:14" x14ac:dyDescent="0.3">
      <c r="A81" t="s">
        <v>522</v>
      </c>
      <c r="B81" t="s">
        <v>575</v>
      </c>
      <c r="C81" t="s">
        <v>576</v>
      </c>
      <c r="D81" t="s">
        <v>577</v>
      </c>
      <c r="E81" t="s">
        <v>578</v>
      </c>
      <c r="F81" t="s">
        <v>1157</v>
      </c>
      <c r="N81" t="s">
        <v>575</v>
      </c>
    </row>
    <row r="82" spans="1:14" x14ac:dyDescent="0.3">
      <c r="A82" t="s">
        <v>522</v>
      </c>
      <c r="B82" t="s">
        <v>579</v>
      </c>
      <c r="C82" t="s">
        <v>580</v>
      </c>
      <c r="D82" t="s">
        <v>581</v>
      </c>
      <c r="E82" t="s">
        <v>582</v>
      </c>
      <c r="F82" t="s">
        <v>1157</v>
      </c>
      <c r="N82" t="s">
        <v>579</v>
      </c>
    </row>
    <row r="83" spans="1:14" x14ac:dyDescent="0.3">
      <c r="A83" t="s">
        <v>522</v>
      </c>
      <c r="B83" t="s">
        <v>583</v>
      </c>
      <c r="C83" t="s">
        <v>584</v>
      </c>
      <c r="D83" t="s">
        <v>585</v>
      </c>
      <c r="E83" t="s">
        <v>586</v>
      </c>
      <c r="F83" t="s">
        <v>1157</v>
      </c>
      <c r="N83" t="s">
        <v>583</v>
      </c>
    </row>
    <row r="84" spans="1:14" x14ac:dyDescent="0.3">
      <c r="A84" t="s">
        <v>522</v>
      </c>
      <c r="B84" t="s">
        <v>587</v>
      </c>
      <c r="C84" t="s">
        <v>588</v>
      </c>
      <c r="D84" t="s">
        <v>589</v>
      </c>
      <c r="E84" t="s">
        <v>590</v>
      </c>
      <c r="F84" t="s">
        <v>1157</v>
      </c>
      <c r="N84" t="s">
        <v>587</v>
      </c>
    </row>
    <row r="85" spans="1:14" x14ac:dyDescent="0.3">
      <c r="A85" t="s">
        <v>522</v>
      </c>
      <c r="B85" t="s">
        <v>591</v>
      </c>
      <c r="C85" t="s">
        <v>592</v>
      </c>
      <c r="D85" t="s">
        <v>593</v>
      </c>
      <c r="E85" t="s">
        <v>594</v>
      </c>
      <c r="F85" t="s">
        <v>1157</v>
      </c>
      <c r="N85" t="s">
        <v>591</v>
      </c>
    </row>
    <row r="86" spans="1:14" x14ac:dyDescent="0.3">
      <c r="A86" t="s">
        <v>522</v>
      </c>
      <c r="B86" t="s">
        <v>595</v>
      </c>
      <c r="C86" t="s">
        <v>596</v>
      </c>
      <c r="D86" t="s">
        <v>597</v>
      </c>
      <c r="E86" t="s">
        <v>598</v>
      </c>
      <c r="F86" t="s">
        <v>1157</v>
      </c>
      <c r="N86" t="s">
        <v>595</v>
      </c>
    </row>
    <row r="87" spans="1:14" x14ac:dyDescent="0.3">
      <c r="A87" t="s">
        <v>522</v>
      </c>
      <c r="B87" t="s">
        <v>599</v>
      </c>
      <c r="C87" t="s">
        <v>600</v>
      </c>
      <c r="D87" t="s">
        <v>601</v>
      </c>
      <c r="E87" t="s">
        <v>602</v>
      </c>
      <c r="F87" t="s">
        <v>1157</v>
      </c>
      <c r="N87" t="s">
        <v>599</v>
      </c>
    </row>
    <row r="88" spans="1:14" x14ac:dyDescent="0.3">
      <c r="A88" t="s">
        <v>522</v>
      </c>
      <c r="B88" t="s">
        <v>603</v>
      </c>
      <c r="C88" t="s">
        <v>604</v>
      </c>
      <c r="D88" t="s">
        <v>605</v>
      </c>
      <c r="E88" t="s">
        <v>606</v>
      </c>
      <c r="F88" t="s">
        <v>1157</v>
      </c>
      <c r="N88" t="s">
        <v>603</v>
      </c>
    </row>
    <row r="89" spans="1:14" x14ac:dyDescent="0.3">
      <c r="A89" t="s">
        <v>522</v>
      </c>
      <c r="B89" t="s">
        <v>607</v>
      </c>
      <c r="C89" t="s">
        <v>608</v>
      </c>
      <c r="D89" t="s">
        <v>609</v>
      </c>
      <c r="E89" t="s">
        <v>610</v>
      </c>
      <c r="F89" t="s">
        <v>1157</v>
      </c>
      <c r="N89" t="s">
        <v>607</v>
      </c>
    </row>
    <row r="90" spans="1:14" x14ac:dyDescent="0.3">
      <c r="A90" t="s">
        <v>522</v>
      </c>
      <c r="B90" t="s">
        <v>611</v>
      </c>
      <c r="C90" t="s">
        <v>612</v>
      </c>
      <c r="D90" t="s">
        <v>613</v>
      </c>
      <c r="E90" t="s">
        <v>614</v>
      </c>
      <c r="F90" t="s">
        <v>1157</v>
      </c>
      <c r="N90" t="s">
        <v>611</v>
      </c>
    </row>
    <row r="91" spans="1:14" x14ac:dyDescent="0.3">
      <c r="A91" t="s">
        <v>522</v>
      </c>
      <c r="B91" t="s">
        <v>615</v>
      </c>
      <c r="C91" t="s">
        <v>616</v>
      </c>
      <c r="D91" t="s">
        <v>617</v>
      </c>
      <c r="E91" t="s">
        <v>618</v>
      </c>
      <c r="F91" t="s">
        <v>1157</v>
      </c>
      <c r="N91" t="s">
        <v>615</v>
      </c>
    </row>
    <row r="92" spans="1:14" x14ac:dyDescent="0.3">
      <c r="A92" t="s">
        <v>522</v>
      </c>
      <c r="B92" t="s">
        <v>619</v>
      </c>
      <c r="C92" t="s">
        <v>620</v>
      </c>
      <c r="D92" t="s">
        <v>621</v>
      </c>
      <c r="E92" t="s">
        <v>622</v>
      </c>
      <c r="F92" t="s">
        <v>1157</v>
      </c>
      <c r="N92" t="s">
        <v>619</v>
      </c>
    </row>
    <row r="93" spans="1:14" x14ac:dyDescent="0.3">
      <c r="A93" t="s">
        <v>522</v>
      </c>
      <c r="B93" t="s">
        <v>623</v>
      </c>
      <c r="C93" t="s">
        <v>624</v>
      </c>
      <c r="D93" t="s">
        <v>625</v>
      </c>
      <c r="E93" t="s">
        <v>626</v>
      </c>
      <c r="F93" t="s">
        <v>1157</v>
      </c>
      <c r="N93" t="s">
        <v>623</v>
      </c>
    </row>
    <row r="94" spans="1:14" x14ac:dyDescent="0.3">
      <c r="A94" t="s">
        <v>522</v>
      </c>
      <c r="B94" t="s">
        <v>627</v>
      </c>
      <c r="C94" t="s">
        <v>628</v>
      </c>
      <c r="D94" t="s">
        <v>629</v>
      </c>
      <c r="E94" t="s">
        <v>630</v>
      </c>
      <c r="F94" t="s">
        <v>1157</v>
      </c>
      <c r="N94" t="s">
        <v>627</v>
      </c>
    </row>
    <row r="95" spans="1:14" x14ac:dyDescent="0.3">
      <c r="A95" t="s">
        <v>522</v>
      </c>
      <c r="B95" t="s">
        <v>631</v>
      </c>
      <c r="C95" t="s">
        <v>632</v>
      </c>
      <c r="D95" t="s">
        <v>633</v>
      </c>
      <c r="E95" t="s">
        <v>634</v>
      </c>
      <c r="F95" t="s">
        <v>1157</v>
      </c>
      <c r="N95" t="s">
        <v>631</v>
      </c>
    </row>
    <row r="96" spans="1:14" x14ac:dyDescent="0.3">
      <c r="A96" t="s">
        <v>522</v>
      </c>
      <c r="B96" t="s">
        <v>635</v>
      </c>
      <c r="C96" t="s">
        <v>636</v>
      </c>
      <c r="D96" t="s">
        <v>637</v>
      </c>
      <c r="E96" t="s">
        <v>638</v>
      </c>
      <c r="F96" t="s">
        <v>1157</v>
      </c>
      <c r="N96" t="s">
        <v>635</v>
      </c>
    </row>
    <row r="97" spans="1:14" x14ac:dyDescent="0.3">
      <c r="A97" t="s">
        <v>522</v>
      </c>
      <c r="B97" t="s">
        <v>639</v>
      </c>
      <c r="C97" t="s">
        <v>640</v>
      </c>
      <c r="D97" t="s">
        <v>641</v>
      </c>
      <c r="E97" t="s">
        <v>642</v>
      </c>
      <c r="F97" t="s">
        <v>1157</v>
      </c>
      <c r="N97" t="s">
        <v>639</v>
      </c>
    </row>
    <row r="98" spans="1:14" x14ac:dyDescent="0.3">
      <c r="A98" t="s">
        <v>522</v>
      </c>
      <c r="B98" t="s">
        <v>643</v>
      </c>
      <c r="C98" t="s">
        <v>644</v>
      </c>
      <c r="D98" t="s">
        <v>645</v>
      </c>
      <c r="E98" t="s">
        <v>646</v>
      </c>
      <c r="F98" t="s">
        <v>1157</v>
      </c>
      <c r="N98" t="s">
        <v>643</v>
      </c>
    </row>
    <row r="99" spans="1:14" x14ac:dyDescent="0.3">
      <c r="A99" t="s">
        <v>522</v>
      </c>
      <c r="B99" t="s">
        <v>647</v>
      </c>
      <c r="C99" t="s">
        <v>648</v>
      </c>
      <c r="D99" t="s">
        <v>649</v>
      </c>
      <c r="E99" t="s">
        <v>650</v>
      </c>
      <c r="F99" t="s">
        <v>1157</v>
      </c>
      <c r="N99" t="s">
        <v>647</v>
      </c>
    </row>
    <row r="100" spans="1:14" x14ac:dyDescent="0.3">
      <c r="A100" t="s">
        <v>522</v>
      </c>
      <c r="B100" t="s">
        <v>651</v>
      </c>
      <c r="C100" t="s">
        <v>652</v>
      </c>
      <c r="D100" t="s">
        <v>653</v>
      </c>
      <c r="E100" t="s">
        <v>654</v>
      </c>
      <c r="F100" t="s">
        <v>1157</v>
      </c>
      <c r="N100" t="s">
        <v>651</v>
      </c>
    </row>
    <row r="101" spans="1:14" x14ac:dyDescent="0.3">
      <c r="A101" t="s">
        <v>522</v>
      </c>
      <c r="B101" t="s">
        <v>655</v>
      </c>
      <c r="C101" t="s">
        <v>656</v>
      </c>
      <c r="D101" t="s">
        <v>657</v>
      </c>
      <c r="E101" t="s">
        <v>658</v>
      </c>
      <c r="F101" t="s">
        <v>1157</v>
      </c>
      <c r="N101" t="s">
        <v>655</v>
      </c>
    </row>
    <row r="102" spans="1:14" x14ac:dyDescent="0.3">
      <c r="A102" t="s">
        <v>522</v>
      </c>
      <c r="B102" t="s">
        <v>659</v>
      </c>
      <c r="C102" t="s">
        <v>660</v>
      </c>
      <c r="D102" t="s">
        <v>661</v>
      </c>
      <c r="E102" t="s">
        <v>662</v>
      </c>
      <c r="F102" t="s">
        <v>1157</v>
      </c>
      <c r="N102" t="s">
        <v>659</v>
      </c>
    </row>
    <row r="103" spans="1:14" x14ac:dyDescent="0.3">
      <c r="A103" t="s">
        <v>522</v>
      </c>
      <c r="B103" t="s">
        <v>663</v>
      </c>
      <c r="C103" t="s">
        <v>664</v>
      </c>
      <c r="D103" t="s">
        <v>665</v>
      </c>
      <c r="E103" t="s">
        <v>666</v>
      </c>
      <c r="F103" t="s">
        <v>1157</v>
      </c>
      <c r="N103" t="s">
        <v>663</v>
      </c>
    </row>
    <row r="104" spans="1:14" x14ac:dyDescent="0.3">
      <c r="A104" t="s">
        <v>522</v>
      </c>
      <c r="B104" t="s">
        <v>667</v>
      </c>
      <c r="C104" t="s">
        <v>668</v>
      </c>
      <c r="D104" t="s">
        <v>669</v>
      </c>
      <c r="E104" t="s">
        <v>670</v>
      </c>
      <c r="F104" t="s">
        <v>1157</v>
      </c>
      <c r="N104" t="s">
        <v>667</v>
      </c>
    </row>
    <row r="105" spans="1:14" x14ac:dyDescent="0.3">
      <c r="A105" t="s">
        <v>522</v>
      </c>
      <c r="B105" t="s">
        <v>671</v>
      </c>
      <c r="C105" t="s">
        <v>672</v>
      </c>
      <c r="D105" t="s">
        <v>673</v>
      </c>
      <c r="E105" t="s">
        <v>674</v>
      </c>
      <c r="F105" t="s">
        <v>1157</v>
      </c>
      <c r="N105" t="s">
        <v>671</v>
      </c>
    </row>
    <row r="106" spans="1:14" x14ac:dyDescent="0.3">
      <c r="A106" t="s">
        <v>522</v>
      </c>
      <c r="B106" t="s">
        <v>675</v>
      </c>
      <c r="C106" t="s">
        <v>676</v>
      </c>
      <c r="D106" t="s">
        <v>677</v>
      </c>
      <c r="E106" t="s">
        <v>678</v>
      </c>
      <c r="F106" t="s">
        <v>1157</v>
      </c>
      <c r="N106" t="s">
        <v>675</v>
      </c>
    </row>
    <row r="107" spans="1:14" x14ac:dyDescent="0.3">
      <c r="A107" t="s">
        <v>522</v>
      </c>
      <c r="B107" t="s">
        <v>679</v>
      </c>
      <c r="C107" t="s">
        <v>680</v>
      </c>
      <c r="D107" t="s">
        <v>681</v>
      </c>
      <c r="E107" t="s">
        <v>682</v>
      </c>
      <c r="F107" t="s">
        <v>1157</v>
      </c>
      <c r="N107" t="s">
        <v>679</v>
      </c>
    </row>
    <row r="108" spans="1:14" x14ac:dyDescent="0.3">
      <c r="A108" t="s">
        <v>522</v>
      </c>
      <c r="B108" t="s">
        <v>683</v>
      </c>
      <c r="C108" t="s">
        <v>684</v>
      </c>
      <c r="D108" t="s">
        <v>685</v>
      </c>
      <c r="E108" t="s">
        <v>686</v>
      </c>
      <c r="F108" t="s">
        <v>1157</v>
      </c>
      <c r="N108" t="s">
        <v>683</v>
      </c>
    </row>
    <row r="109" spans="1:14" x14ac:dyDescent="0.3">
      <c r="A109" t="s">
        <v>522</v>
      </c>
      <c r="B109" t="s">
        <v>687</v>
      </c>
      <c r="C109" t="s">
        <v>688</v>
      </c>
      <c r="D109" t="s">
        <v>689</v>
      </c>
      <c r="E109" t="s">
        <v>690</v>
      </c>
      <c r="F109" t="s">
        <v>1157</v>
      </c>
      <c r="N109" t="s">
        <v>687</v>
      </c>
    </row>
    <row r="110" spans="1:14" x14ac:dyDescent="0.3">
      <c r="A110" t="s">
        <v>522</v>
      </c>
      <c r="B110" t="s">
        <v>691</v>
      </c>
      <c r="C110" t="s">
        <v>692</v>
      </c>
      <c r="D110" t="s">
        <v>693</v>
      </c>
      <c r="E110" t="s">
        <v>694</v>
      </c>
      <c r="F110" t="s">
        <v>1157</v>
      </c>
      <c r="N110" t="s">
        <v>691</v>
      </c>
    </row>
    <row r="111" spans="1:14" x14ac:dyDescent="0.3">
      <c r="A111" t="s">
        <v>522</v>
      </c>
      <c r="B111" t="s">
        <v>695</v>
      </c>
      <c r="C111" t="s">
        <v>696</v>
      </c>
      <c r="D111" t="s">
        <v>697</v>
      </c>
      <c r="E111" t="s">
        <v>698</v>
      </c>
      <c r="F111" t="s">
        <v>1157</v>
      </c>
      <c r="N111" t="s">
        <v>695</v>
      </c>
    </row>
    <row r="112" spans="1:14" x14ac:dyDescent="0.3">
      <c r="A112" t="s">
        <v>522</v>
      </c>
      <c r="B112" t="s">
        <v>699</v>
      </c>
      <c r="C112" t="s">
        <v>700</v>
      </c>
      <c r="D112" t="s">
        <v>701</v>
      </c>
      <c r="E112" t="s">
        <v>702</v>
      </c>
      <c r="F112" t="s">
        <v>1157</v>
      </c>
      <c r="N112" t="s">
        <v>699</v>
      </c>
    </row>
    <row r="113" spans="1:14" x14ac:dyDescent="0.3">
      <c r="A113" t="s">
        <v>522</v>
      </c>
      <c r="B113" t="s">
        <v>703</v>
      </c>
      <c r="C113" t="s">
        <v>704</v>
      </c>
      <c r="D113" t="s">
        <v>705</v>
      </c>
      <c r="E113" t="s">
        <v>706</v>
      </c>
      <c r="F113" t="s">
        <v>1157</v>
      </c>
      <c r="N113" t="s">
        <v>703</v>
      </c>
    </row>
    <row r="114" spans="1:14" x14ac:dyDescent="0.3">
      <c r="A114" t="s">
        <v>522</v>
      </c>
      <c r="B114" t="s">
        <v>707</v>
      </c>
      <c r="C114" t="s">
        <v>708</v>
      </c>
      <c r="D114" t="s">
        <v>709</v>
      </c>
      <c r="E114" t="s">
        <v>710</v>
      </c>
      <c r="F114" t="s">
        <v>1157</v>
      </c>
      <c r="N114" t="s">
        <v>707</v>
      </c>
    </row>
    <row r="115" spans="1:14" x14ac:dyDescent="0.3">
      <c r="A115" t="s">
        <v>522</v>
      </c>
      <c r="B115" t="s">
        <v>711</v>
      </c>
      <c r="C115" t="s">
        <v>712</v>
      </c>
      <c r="D115" t="s">
        <v>713</v>
      </c>
      <c r="E115" t="s">
        <v>714</v>
      </c>
      <c r="F115" t="s">
        <v>1157</v>
      </c>
      <c r="N115" t="s">
        <v>711</v>
      </c>
    </row>
    <row r="116" spans="1:14" x14ac:dyDescent="0.3">
      <c r="A116" t="s">
        <v>522</v>
      </c>
      <c r="B116" t="s">
        <v>715</v>
      </c>
      <c r="C116" t="s">
        <v>716</v>
      </c>
      <c r="D116" t="s">
        <v>717</v>
      </c>
      <c r="E116" t="s">
        <v>718</v>
      </c>
      <c r="F116" t="s">
        <v>1157</v>
      </c>
      <c r="N116" t="s">
        <v>715</v>
      </c>
    </row>
    <row r="117" spans="1:14" x14ac:dyDescent="0.3">
      <c r="A117" t="s">
        <v>522</v>
      </c>
      <c r="B117" t="s">
        <v>719</v>
      </c>
      <c r="C117" t="s">
        <v>720</v>
      </c>
      <c r="D117" t="s">
        <v>721</v>
      </c>
      <c r="E117" t="s">
        <v>722</v>
      </c>
      <c r="F117" t="s">
        <v>1157</v>
      </c>
      <c r="N117" t="s">
        <v>719</v>
      </c>
    </row>
    <row r="118" spans="1:14" x14ac:dyDescent="0.3">
      <c r="A118" t="s">
        <v>522</v>
      </c>
      <c r="B118" t="s">
        <v>723</v>
      </c>
      <c r="C118" t="s">
        <v>724</v>
      </c>
      <c r="D118" t="s">
        <v>725</v>
      </c>
      <c r="E118" t="s">
        <v>726</v>
      </c>
      <c r="F118" t="s">
        <v>1157</v>
      </c>
      <c r="N118" t="s">
        <v>723</v>
      </c>
    </row>
    <row r="119" spans="1:14" x14ac:dyDescent="0.3">
      <c r="A119" t="s">
        <v>522</v>
      </c>
      <c r="B119" t="s">
        <v>727</v>
      </c>
      <c r="C119" t="s">
        <v>728</v>
      </c>
      <c r="D119" t="s">
        <v>729</v>
      </c>
      <c r="E119" t="s">
        <v>730</v>
      </c>
      <c r="F119" t="s">
        <v>1157</v>
      </c>
      <c r="N119" t="s">
        <v>727</v>
      </c>
    </row>
    <row r="120" spans="1:14" x14ac:dyDescent="0.3">
      <c r="A120" t="s">
        <v>522</v>
      </c>
      <c r="B120" t="s">
        <v>731</v>
      </c>
      <c r="C120" t="s">
        <v>732</v>
      </c>
      <c r="D120" t="s">
        <v>733</v>
      </c>
      <c r="E120" t="s">
        <v>734</v>
      </c>
      <c r="F120" t="s">
        <v>1157</v>
      </c>
      <c r="N120" t="s">
        <v>731</v>
      </c>
    </row>
    <row r="121" spans="1:14" x14ac:dyDescent="0.3">
      <c r="A121" t="s">
        <v>522</v>
      </c>
      <c r="B121" t="s">
        <v>735</v>
      </c>
      <c r="C121" t="s">
        <v>736</v>
      </c>
      <c r="D121" t="s">
        <v>737</v>
      </c>
      <c r="E121" t="s">
        <v>738</v>
      </c>
      <c r="F121" t="s">
        <v>1157</v>
      </c>
      <c r="N121" t="s">
        <v>735</v>
      </c>
    </row>
    <row r="122" spans="1:14" x14ac:dyDescent="0.3">
      <c r="A122" t="s">
        <v>522</v>
      </c>
      <c r="B122" t="s">
        <v>739</v>
      </c>
      <c r="C122" t="s">
        <v>740</v>
      </c>
      <c r="D122" t="s">
        <v>741</v>
      </c>
      <c r="E122" t="s">
        <v>742</v>
      </c>
      <c r="F122" t="s">
        <v>1157</v>
      </c>
      <c r="N122" t="s">
        <v>739</v>
      </c>
    </row>
    <row r="123" spans="1:14" x14ac:dyDescent="0.3">
      <c r="A123" t="s">
        <v>522</v>
      </c>
      <c r="B123" t="s">
        <v>743</v>
      </c>
      <c r="C123" t="s">
        <v>744</v>
      </c>
      <c r="D123" t="s">
        <v>745</v>
      </c>
      <c r="E123" t="s">
        <v>746</v>
      </c>
      <c r="F123" t="s">
        <v>1157</v>
      </c>
      <c r="N123" t="s">
        <v>743</v>
      </c>
    </row>
    <row r="124" spans="1:14" x14ac:dyDescent="0.3">
      <c r="A124" t="s">
        <v>522</v>
      </c>
      <c r="B124" t="s">
        <v>747</v>
      </c>
      <c r="C124" t="s">
        <v>748</v>
      </c>
      <c r="D124" t="s">
        <v>749</v>
      </c>
      <c r="E124" t="s">
        <v>750</v>
      </c>
      <c r="F124" t="s">
        <v>1157</v>
      </c>
      <c r="N124" t="s">
        <v>747</v>
      </c>
    </row>
    <row r="125" spans="1:14" x14ac:dyDescent="0.3">
      <c r="A125" t="s">
        <v>522</v>
      </c>
      <c r="B125" t="s">
        <v>751</v>
      </c>
      <c r="C125" t="s">
        <v>752</v>
      </c>
      <c r="D125" t="s">
        <v>753</v>
      </c>
      <c r="E125" t="s">
        <v>754</v>
      </c>
      <c r="F125" t="s">
        <v>1157</v>
      </c>
      <c r="N125" t="s">
        <v>751</v>
      </c>
    </row>
    <row r="126" spans="1:14" x14ac:dyDescent="0.3">
      <c r="A126" t="s">
        <v>522</v>
      </c>
      <c r="B126" t="s">
        <v>755</v>
      </c>
      <c r="C126" t="s">
        <v>756</v>
      </c>
      <c r="D126" t="s">
        <v>757</v>
      </c>
      <c r="E126" t="s">
        <v>758</v>
      </c>
      <c r="F126" t="s">
        <v>1157</v>
      </c>
      <c r="N126" t="s">
        <v>755</v>
      </c>
    </row>
    <row r="127" spans="1:14" x14ac:dyDescent="0.3">
      <c r="A127" t="s">
        <v>522</v>
      </c>
      <c r="B127" t="s">
        <v>759</v>
      </c>
      <c r="C127" t="s">
        <v>760</v>
      </c>
      <c r="D127" t="s">
        <v>761</v>
      </c>
      <c r="E127" t="s">
        <v>762</v>
      </c>
      <c r="F127" t="s">
        <v>1157</v>
      </c>
      <c r="N127" t="s">
        <v>759</v>
      </c>
    </row>
    <row r="128" spans="1:14" x14ac:dyDescent="0.3">
      <c r="A128" t="s">
        <v>763</v>
      </c>
      <c r="B128" t="s">
        <v>764</v>
      </c>
      <c r="C128" t="s">
        <v>765</v>
      </c>
      <c r="D128" t="s">
        <v>766</v>
      </c>
      <c r="E128" t="s">
        <v>767</v>
      </c>
      <c r="F128" t="s">
        <v>768</v>
      </c>
    </row>
    <row r="129" spans="1:6" x14ac:dyDescent="0.3">
      <c r="A129" t="s">
        <v>763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 spans="1:6" x14ac:dyDescent="0.3">
      <c r="A130" t="s">
        <v>763</v>
      </c>
      <c r="B130" t="s">
        <v>769</v>
      </c>
      <c r="C130" t="s">
        <v>770</v>
      </c>
      <c r="D130" t="s">
        <v>774</v>
      </c>
      <c r="E130" t="s">
        <v>775</v>
      </c>
      <c r="F130" t="s">
        <v>773</v>
      </c>
    </row>
    <row r="131" spans="1:6" x14ac:dyDescent="0.3">
      <c r="A131" t="s">
        <v>763</v>
      </c>
      <c r="B131" t="s">
        <v>776</v>
      </c>
      <c r="C131" t="s">
        <v>777</v>
      </c>
      <c r="D131" t="s">
        <v>778</v>
      </c>
      <c r="E131" t="s">
        <v>779</v>
      </c>
      <c r="F131" t="s">
        <v>780</v>
      </c>
    </row>
    <row r="132" spans="1:6" x14ac:dyDescent="0.3">
      <c r="A132" t="s">
        <v>763</v>
      </c>
      <c r="B132" t="s">
        <v>776</v>
      </c>
      <c r="C132" t="s">
        <v>777</v>
      </c>
      <c r="D132" t="s">
        <v>781</v>
      </c>
      <c r="E132" t="s">
        <v>782</v>
      </c>
      <c r="F132" t="s">
        <v>783</v>
      </c>
    </row>
    <row r="133" spans="1:6" x14ac:dyDescent="0.3">
      <c r="A133" t="s">
        <v>763</v>
      </c>
      <c r="B133" t="s">
        <v>784</v>
      </c>
      <c r="C133" t="s">
        <v>785</v>
      </c>
      <c r="D133" t="s">
        <v>786</v>
      </c>
      <c r="E133" t="s">
        <v>787</v>
      </c>
      <c r="F133" t="s">
        <v>788</v>
      </c>
    </row>
    <row r="134" spans="1:6" x14ac:dyDescent="0.3">
      <c r="A134" t="s">
        <v>763</v>
      </c>
      <c r="B134" t="s">
        <v>789</v>
      </c>
      <c r="C134" t="s">
        <v>790</v>
      </c>
      <c r="D134" t="s">
        <v>791</v>
      </c>
      <c r="E134" t="s">
        <v>792</v>
      </c>
      <c r="F134" t="s">
        <v>793</v>
      </c>
    </row>
    <row r="135" spans="1:6" x14ac:dyDescent="0.3">
      <c r="A135" t="s">
        <v>763</v>
      </c>
      <c r="B135" t="s">
        <v>794</v>
      </c>
      <c r="D135" t="s">
        <v>795</v>
      </c>
      <c r="E135" t="s">
        <v>796</v>
      </c>
      <c r="F135" t="s">
        <v>797</v>
      </c>
    </row>
    <row r="136" spans="1:6" x14ac:dyDescent="0.3">
      <c r="A136" t="s">
        <v>763</v>
      </c>
      <c r="B136" t="s">
        <v>795</v>
      </c>
      <c r="C136" t="s">
        <v>796</v>
      </c>
      <c r="D136" t="s">
        <v>798</v>
      </c>
      <c r="E136" t="s">
        <v>799</v>
      </c>
      <c r="F136" t="s">
        <v>793</v>
      </c>
    </row>
    <row r="137" spans="1:6" x14ac:dyDescent="0.3">
      <c r="A137" t="s">
        <v>763</v>
      </c>
      <c r="B137" t="s">
        <v>789</v>
      </c>
      <c r="C137" t="s">
        <v>790</v>
      </c>
      <c r="D137" t="s">
        <v>800</v>
      </c>
      <c r="E137" t="s">
        <v>801</v>
      </c>
      <c r="F137" t="s">
        <v>793</v>
      </c>
    </row>
    <row r="138" spans="1:6" x14ac:dyDescent="0.3">
      <c r="A138" t="s">
        <v>763</v>
      </c>
      <c r="B138" t="s">
        <v>802</v>
      </c>
      <c r="C138" t="s">
        <v>803</v>
      </c>
      <c r="D138" t="s">
        <v>804</v>
      </c>
      <c r="E138" t="s">
        <v>805</v>
      </c>
      <c r="F138" t="s">
        <v>806</v>
      </c>
    </row>
    <row r="139" spans="1:6" x14ac:dyDescent="0.3">
      <c r="A139" t="s">
        <v>763</v>
      </c>
      <c r="B139" t="s">
        <v>802</v>
      </c>
      <c r="C139" t="s">
        <v>803</v>
      </c>
      <c r="D139" t="s">
        <v>807</v>
      </c>
      <c r="E139" t="s">
        <v>808</v>
      </c>
      <c r="F139" t="s">
        <v>806</v>
      </c>
    </row>
    <row r="140" spans="1:6" x14ac:dyDescent="0.3">
      <c r="A140" t="s">
        <v>763</v>
      </c>
      <c r="B140" t="s">
        <v>809</v>
      </c>
      <c r="C140" t="s">
        <v>810</v>
      </c>
      <c r="D140" t="s">
        <v>811</v>
      </c>
      <c r="E140" t="s">
        <v>812</v>
      </c>
      <c r="F140" t="s">
        <v>813</v>
      </c>
    </row>
    <row r="141" spans="1:6" x14ac:dyDescent="0.3">
      <c r="A141" t="s">
        <v>763</v>
      </c>
      <c r="B141" t="s">
        <v>814</v>
      </c>
      <c r="C141" t="s">
        <v>815</v>
      </c>
      <c r="D141" t="s">
        <v>816</v>
      </c>
      <c r="E141" t="s">
        <v>817</v>
      </c>
      <c r="F141" t="s">
        <v>818</v>
      </c>
    </row>
    <row r="142" spans="1:6" x14ac:dyDescent="0.3">
      <c r="A142" t="s">
        <v>763</v>
      </c>
      <c r="B142" t="s">
        <v>819</v>
      </c>
      <c r="C142" t="s">
        <v>820</v>
      </c>
      <c r="D142" t="s">
        <v>821</v>
      </c>
      <c r="E142" t="s">
        <v>822</v>
      </c>
      <c r="F142" t="s">
        <v>823</v>
      </c>
    </row>
    <row r="143" spans="1:6" x14ac:dyDescent="0.3">
      <c r="A143" t="s">
        <v>763</v>
      </c>
      <c r="B143" t="s">
        <v>824</v>
      </c>
      <c r="C143" t="s">
        <v>825</v>
      </c>
      <c r="D143" t="s">
        <v>826</v>
      </c>
      <c r="E143" t="s">
        <v>827</v>
      </c>
      <c r="F143" t="s">
        <v>828</v>
      </c>
    </row>
    <row r="144" spans="1:6" x14ac:dyDescent="0.3">
      <c r="A144" t="s">
        <v>763</v>
      </c>
      <c r="B144" t="s">
        <v>829</v>
      </c>
      <c r="C144" t="s">
        <v>830</v>
      </c>
      <c r="D144" t="s">
        <v>831</v>
      </c>
      <c r="E144" t="s">
        <v>832</v>
      </c>
      <c r="F144" t="s">
        <v>833</v>
      </c>
    </row>
    <row r="145" spans="1:6" x14ac:dyDescent="0.3">
      <c r="A145" t="s">
        <v>763</v>
      </c>
      <c r="B145" t="s">
        <v>834</v>
      </c>
      <c r="C145" t="s">
        <v>835</v>
      </c>
      <c r="D145" t="s">
        <v>836</v>
      </c>
      <c r="E145" t="s">
        <v>837</v>
      </c>
      <c r="F145" t="s">
        <v>838</v>
      </c>
    </row>
    <row r="146" spans="1:6" x14ac:dyDescent="0.3">
      <c r="A146" t="s">
        <v>763</v>
      </c>
      <c r="B146" t="s">
        <v>839</v>
      </c>
      <c r="C146" t="s">
        <v>840</v>
      </c>
      <c r="D146" t="s">
        <v>841</v>
      </c>
      <c r="E146" t="s">
        <v>842</v>
      </c>
      <c r="F146" t="s">
        <v>843</v>
      </c>
    </row>
    <row r="147" spans="1:6" x14ac:dyDescent="0.3">
      <c r="A147" t="s">
        <v>763</v>
      </c>
      <c r="B147" t="s">
        <v>844</v>
      </c>
      <c r="C147" t="s">
        <v>845</v>
      </c>
      <c r="D147" t="s">
        <v>846</v>
      </c>
      <c r="E147" t="s">
        <v>847</v>
      </c>
      <c r="F147" t="s">
        <v>848</v>
      </c>
    </row>
    <row r="148" spans="1:6" x14ac:dyDescent="0.3">
      <c r="A148" t="s">
        <v>763</v>
      </c>
      <c r="B148" t="s">
        <v>849</v>
      </c>
      <c r="D148" t="s">
        <v>850</v>
      </c>
      <c r="E148" t="s">
        <v>851</v>
      </c>
      <c r="F148" t="s">
        <v>852</v>
      </c>
    </row>
    <row r="149" spans="1:6" x14ac:dyDescent="0.3">
      <c r="A149" t="s">
        <v>763</v>
      </c>
      <c r="B149" t="s">
        <v>853</v>
      </c>
      <c r="C149" t="s">
        <v>854</v>
      </c>
      <c r="D149" t="s">
        <v>855</v>
      </c>
      <c r="E149" t="s">
        <v>856</v>
      </c>
      <c r="F149" t="s">
        <v>857</v>
      </c>
    </row>
    <row r="150" spans="1:6" x14ac:dyDescent="0.3">
      <c r="A150" t="s">
        <v>763</v>
      </c>
      <c r="B150" t="s">
        <v>858</v>
      </c>
      <c r="C150" t="s">
        <v>859</v>
      </c>
      <c r="D150" t="s">
        <v>860</v>
      </c>
      <c r="E150" t="s">
        <v>861</v>
      </c>
      <c r="F150" t="s">
        <v>857</v>
      </c>
    </row>
    <row r="151" spans="1:6" x14ac:dyDescent="0.3">
      <c r="A151" t="s">
        <v>763</v>
      </c>
      <c r="B151" t="s">
        <v>862</v>
      </c>
      <c r="C151" t="s">
        <v>863</v>
      </c>
      <c r="D151" t="s">
        <v>864</v>
      </c>
      <c r="E151" t="s">
        <v>865</v>
      </c>
      <c r="F151" t="s">
        <v>866</v>
      </c>
    </row>
    <row r="152" spans="1:6" x14ac:dyDescent="0.3">
      <c r="A152" t="s">
        <v>763</v>
      </c>
      <c r="B152" t="s">
        <v>867</v>
      </c>
      <c r="C152" t="s">
        <v>868</v>
      </c>
      <c r="D152" t="s">
        <v>869</v>
      </c>
      <c r="E152" t="s">
        <v>870</v>
      </c>
      <c r="F152" t="s">
        <v>843</v>
      </c>
    </row>
    <row r="153" spans="1:6" x14ac:dyDescent="0.3">
      <c r="A153" t="s">
        <v>763</v>
      </c>
      <c r="B153" t="s">
        <v>867</v>
      </c>
      <c r="C153" t="s">
        <v>868</v>
      </c>
      <c r="D153" t="s">
        <v>871</v>
      </c>
      <c r="E153" t="s">
        <v>872</v>
      </c>
      <c r="F153" t="s">
        <v>843</v>
      </c>
    </row>
    <row r="154" spans="1:6" x14ac:dyDescent="0.3">
      <c r="A154" t="s">
        <v>763</v>
      </c>
      <c r="B154" t="s">
        <v>873</v>
      </c>
      <c r="C154" t="s">
        <v>874</v>
      </c>
      <c r="D154" t="s">
        <v>875</v>
      </c>
      <c r="E154" t="s">
        <v>876</v>
      </c>
      <c r="F154" t="s">
        <v>773</v>
      </c>
    </row>
    <row r="155" spans="1:6" x14ac:dyDescent="0.3">
      <c r="A155" t="s">
        <v>763</v>
      </c>
      <c r="B155" t="s">
        <v>877</v>
      </c>
      <c r="C155" t="s">
        <v>878</v>
      </c>
      <c r="D155" t="s">
        <v>879</v>
      </c>
      <c r="E155" t="s">
        <v>880</v>
      </c>
      <c r="F155" t="s">
        <v>773</v>
      </c>
    </row>
    <row r="156" spans="1:6" x14ac:dyDescent="0.3">
      <c r="A156" t="s">
        <v>763</v>
      </c>
      <c r="B156" t="s">
        <v>881</v>
      </c>
      <c r="C156" t="s">
        <v>882</v>
      </c>
      <c r="D156" t="s">
        <v>883</v>
      </c>
      <c r="E156" t="s">
        <v>884</v>
      </c>
      <c r="F156" t="s">
        <v>885</v>
      </c>
    </row>
    <row r="157" spans="1:6" x14ac:dyDescent="0.3">
      <c r="A157" t="s">
        <v>763</v>
      </c>
      <c r="B157" t="s">
        <v>886</v>
      </c>
      <c r="C157" t="s">
        <v>887</v>
      </c>
      <c r="D157" t="s">
        <v>888</v>
      </c>
      <c r="E157" t="s">
        <v>889</v>
      </c>
      <c r="F157" t="s">
        <v>890</v>
      </c>
    </row>
    <row r="158" spans="1:6" x14ac:dyDescent="0.3">
      <c r="A158" t="s">
        <v>763</v>
      </c>
      <c r="B158" t="s">
        <v>891</v>
      </c>
      <c r="C158" t="s">
        <v>892</v>
      </c>
      <c r="D158" t="s">
        <v>893</v>
      </c>
      <c r="E158" t="s">
        <v>894</v>
      </c>
      <c r="F158" t="s">
        <v>895</v>
      </c>
    </row>
    <row r="159" spans="1:6" x14ac:dyDescent="0.3">
      <c r="A159" t="s">
        <v>763</v>
      </c>
      <c r="B159" t="s">
        <v>794</v>
      </c>
      <c r="D159" t="s">
        <v>891</v>
      </c>
      <c r="E159" t="s">
        <v>892</v>
      </c>
      <c r="F159" t="s">
        <v>895</v>
      </c>
    </row>
    <row r="160" spans="1:6" x14ac:dyDescent="0.3">
      <c r="A160" t="s">
        <v>763</v>
      </c>
      <c r="B160" t="s">
        <v>896</v>
      </c>
      <c r="C160" t="s">
        <v>897</v>
      </c>
      <c r="D160" t="s">
        <v>603</v>
      </c>
      <c r="E160" t="s">
        <v>604</v>
      </c>
      <c r="F160" t="s">
        <v>895</v>
      </c>
    </row>
    <row r="161" spans="1:6" x14ac:dyDescent="0.3">
      <c r="A161" t="s">
        <v>763</v>
      </c>
      <c r="B161" t="s">
        <v>898</v>
      </c>
      <c r="C161" t="s">
        <v>899</v>
      </c>
      <c r="D161" t="s">
        <v>900</v>
      </c>
      <c r="E161" t="s">
        <v>901</v>
      </c>
      <c r="F161" t="s">
        <v>866</v>
      </c>
    </row>
    <row r="162" spans="1:6" x14ac:dyDescent="0.3">
      <c r="A162" t="s">
        <v>763</v>
      </c>
      <c r="B162" t="s">
        <v>902</v>
      </c>
      <c r="C162" t="s">
        <v>903</v>
      </c>
      <c r="D162" t="s">
        <v>904</v>
      </c>
      <c r="E162" t="s">
        <v>905</v>
      </c>
      <c r="F162" t="s">
        <v>906</v>
      </c>
    </row>
    <row r="163" spans="1:6" x14ac:dyDescent="0.3">
      <c r="A163" t="s">
        <v>763</v>
      </c>
      <c r="B163" t="s">
        <v>907</v>
      </c>
      <c r="C163" t="s">
        <v>908</v>
      </c>
      <c r="D163" t="s">
        <v>909</v>
      </c>
      <c r="E163" t="s">
        <v>910</v>
      </c>
      <c r="F163" t="s">
        <v>911</v>
      </c>
    </row>
    <row r="164" spans="1:6" x14ac:dyDescent="0.3">
      <c r="A164" t="s">
        <v>763</v>
      </c>
      <c r="B164" t="s">
        <v>912</v>
      </c>
      <c r="C164" t="s">
        <v>913</v>
      </c>
      <c r="D164" t="s">
        <v>914</v>
      </c>
      <c r="E164" t="s">
        <v>915</v>
      </c>
      <c r="F164" t="s">
        <v>911</v>
      </c>
    </row>
    <row r="165" spans="1:6" x14ac:dyDescent="0.3">
      <c r="A165" t="s">
        <v>763</v>
      </c>
      <c r="B165" t="s">
        <v>916</v>
      </c>
      <c r="C165" t="s">
        <v>917</v>
      </c>
      <c r="D165" t="s">
        <v>918</v>
      </c>
      <c r="E165" t="s">
        <v>919</v>
      </c>
      <c r="F165" t="s">
        <v>920</v>
      </c>
    </row>
    <row r="166" spans="1:6" x14ac:dyDescent="0.3">
      <c r="A166" t="s">
        <v>763</v>
      </c>
      <c r="B166" t="s">
        <v>921</v>
      </c>
      <c r="C166" t="s">
        <v>922</v>
      </c>
      <c r="D166" t="s">
        <v>916</v>
      </c>
      <c r="E166" t="s">
        <v>917</v>
      </c>
      <c r="F166" t="s">
        <v>920</v>
      </c>
    </row>
    <row r="167" spans="1:6" x14ac:dyDescent="0.3">
      <c r="A167" t="s">
        <v>763</v>
      </c>
      <c r="B167" t="s">
        <v>923</v>
      </c>
      <c r="C167" t="s">
        <v>924</v>
      </c>
      <c r="D167" t="s">
        <v>921</v>
      </c>
      <c r="E167" t="s">
        <v>922</v>
      </c>
      <c r="F167" t="s">
        <v>925</v>
      </c>
    </row>
    <row r="168" spans="1:6" x14ac:dyDescent="0.3">
      <c r="A168" t="s">
        <v>763</v>
      </c>
      <c r="B168" t="s">
        <v>926</v>
      </c>
      <c r="D168" t="s">
        <v>927</v>
      </c>
      <c r="E168" t="s">
        <v>928</v>
      </c>
      <c r="F168" t="s">
        <v>929</v>
      </c>
    </row>
    <row r="169" spans="1:6" x14ac:dyDescent="0.3">
      <c r="A169" t="s">
        <v>763</v>
      </c>
      <c r="B169" t="s">
        <v>930</v>
      </c>
      <c r="C169" t="s">
        <v>931</v>
      </c>
      <c r="D169" t="s">
        <v>926</v>
      </c>
      <c r="E169" t="s">
        <v>932</v>
      </c>
      <c r="F169" t="s">
        <v>929</v>
      </c>
    </row>
    <row r="170" spans="1:6" x14ac:dyDescent="0.3">
      <c r="A170" t="s">
        <v>763</v>
      </c>
      <c r="B170" t="s">
        <v>933</v>
      </c>
      <c r="C170" t="s">
        <v>934</v>
      </c>
      <c r="D170" t="s">
        <v>935</v>
      </c>
      <c r="E170" t="s">
        <v>936</v>
      </c>
      <c r="F170" t="s">
        <v>929</v>
      </c>
    </row>
    <row r="171" spans="1:6" x14ac:dyDescent="0.3">
      <c r="A171" t="s">
        <v>763</v>
      </c>
      <c r="B171" t="s">
        <v>937</v>
      </c>
      <c r="C171" t="s">
        <v>938</v>
      </c>
      <c r="D171" t="s">
        <v>939</v>
      </c>
      <c r="E171" t="s">
        <v>940</v>
      </c>
      <c r="F171" t="s">
        <v>941</v>
      </c>
    </row>
    <row r="172" spans="1:6" x14ac:dyDescent="0.3">
      <c r="A172" t="s">
        <v>763</v>
      </c>
      <c r="B172" t="s">
        <v>942</v>
      </c>
      <c r="C172" t="s">
        <v>943</v>
      </c>
      <c r="D172" t="s">
        <v>944</v>
      </c>
      <c r="E172" t="s">
        <v>945</v>
      </c>
      <c r="F172" t="s">
        <v>946</v>
      </c>
    </row>
    <row r="173" spans="1:6" x14ac:dyDescent="0.3">
      <c r="A173" t="s">
        <v>763</v>
      </c>
      <c r="B173" t="s">
        <v>942</v>
      </c>
      <c r="C173" t="s">
        <v>943</v>
      </c>
      <c r="D173" t="s">
        <v>947</v>
      </c>
      <c r="E173" t="s">
        <v>948</v>
      </c>
      <c r="F173" t="s">
        <v>946</v>
      </c>
    </row>
    <row r="174" spans="1:6" x14ac:dyDescent="0.3">
      <c r="A174" t="s">
        <v>763</v>
      </c>
      <c r="B174" t="s">
        <v>942</v>
      </c>
      <c r="C174" t="s">
        <v>943</v>
      </c>
      <c r="D174" t="s">
        <v>949</v>
      </c>
      <c r="E174" t="s">
        <v>950</v>
      </c>
      <c r="F174" t="s">
        <v>946</v>
      </c>
    </row>
    <row r="175" spans="1:6" x14ac:dyDescent="0.3">
      <c r="A175" t="s">
        <v>763</v>
      </c>
      <c r="B175" t="s">
        <v>951</v>
      </c>
      <c r="C175" t="s">
        <v>952</v>
      </c>
      <c r="D175" t="s">
        <v>953</v>
      </c>
      <c r="E175" t="s">
        <v>954</v>
      </c>
      <c r="F175" t="s">
        <v>955</v>
      </c>
    </row>
    <row r="176" spans="1:6" x14ac:dyDescent="0.3">
      <c r="A176" t="s">
        <v>763</v>
      </c>
      <c r="B176" t="s">
        <v>956</v>
      </c>
      <c r="C176" t="s">
        <v>957</v>
      </c>
      <c r="D176" t="s">
        <v>958</v>
      </c>
      <c r="E176" t="s">
        <v>959</v>
      </c>
      <c r="F176" t="s">
        <v>960</v>
      </c>
    </row>
    <row r="177" spans="1:6" x14ac:dyDescent="0.3">
      <c r="A177" t="s">
        <v>763</v>
      </c>
      <c r="B177" t="s">
        <v>961</v>
      </c>
      <c r="C177" t="s">
        <v>962</v>
      </c>
      <c r="D177" t="s">
        <v>963</v>
      </c>
      <c r="E177" t="s">
        <v>964</v>
      </c>
      <c r="F177" t="s">
        <v>965</v>
      </c>
    </row>
    <row r="178" spans="1:6" x14ac:dyDescent="0.3">
      <c r="A178" t="s">
        <v>763</v>
      </c>
      <c r="B178" t="s">
        <v>966</v>
      </c>
      <c r="D178" t="s">
        <v>967</v>
      </c>
      <c r="E178" t="s">
        <v>968</v>
      </c>
      <c r="F178" t="s">
        <v>969</v>
      </c>
    </row>
    <row r="179" spans="1:6" x14ac:dyDescent="0.3">
      <c r="A179" t="s">
        <v>763</v>
      </c>
      <c r="B179" t="s">
        <v>970</v>
      </c>
      <c r="C179" t="s">
        <v>971</v>
      </c>
      <c r="D179" t="s">
        <v>972</v>
      </c>
      <c r="E179" t="s">
        <v>973</v>
      </c>
      <c r="F179" t="s">
        <v>974</v>
      </c>
    </row>
    <row r="180" spans="1:6" x14ac:dyDescent="0.3">
      <c r="A180" t="s">
        <v>763</v>
      </c>
      <c r="B180" t="s">
        <v>975</v>
      </c>
      <c r="C180" t="s">
        <v>976</v>
      </c>
      <c r="D180" t="s">
        <v>977</v>
      </c>
      <c r="E180" t="s">
        <v>978</v>
      </c>
      <c r="F180" t="s">
        <v>797</v>
      </c>
    </row>
    <row r="181" spans="1:6" x14ac:dyDescent="0.3">
      <c r="A181" t="s">
        <v>763</v>
      </c>
      <c r="B181" t="s">
        <v>975</v>
      </c>
      <c r="C181" t="s">
        <v>976</v>
      </c>
      <c r="D181" t="s">
        <v>979</v>
      </c>
      <c r="E181" t="s">
        <v>980</v>
      </c>
      <c r="F181" t="s">
        <v>981</v>
      </c>
    </row>
    <row r="182" spans="1:6" x14ac:dyDescent="0.3">
      <c r="A182" t="s">
        <v>763</v>
      </c>
      <c r="B182" t="s">
        <v>982</v>
      </c>
      <c r="C182" t="s">
        <v>983</v>
      </c>
      <c r="D182" t="s">
        <v>984</v>
      </c>
      <c r="E182" t="s">
        <v>985</v>
      </c>
      <c r="F182" t="s">
        <v>986</v>
      </c>
    </row>
    <row r="183" spans="1:6" x14ac:dyDescent="0.3">
      <c r="A183" t="s">
        <v>763</v>
      </c>
      <c r="B183" t="s">
        <v>987</v>
      </c>
      <c r="C183" t="s">
        <v>988</v>
      </c>
      <c r="D183" t="s">
        <v>989</v>
      </c>
      <c r="E183" t="s">
        <v>990</v>
      </c>
      <c r="F183" t="s">
        <v>422</v>
      </c>
    </row>
    <row r="184" spans="1:6" x14ac:dyDescent="0.3">
      <c r="A184" t="s">
        <v>763</v>
      </c>
      <c r="B184" t="s">
        <v>991</v>
      </c>
      <c r="C184" t="s">
        <v>992</v>
      </c>
      <c r="D184" t="s">
        <v>993</v>
      </c>
      <c r="E184" t="s">
        <v>994</v>
      </c>
      <c r="F184" t="s">
        <v>995</v>
      </c>
    </row>
    <row r="185" spans="1:6" x14ac:dyDescent="0.3">
      <c r="A185" t="s">
        <v>763</v>
      </c>
      <c r="B185" t="s">
        <v>996</v>
      </c>
      <c r="C185" t="s">
        <v>997</v>
      </c>
      <c r="D185" t="s">
        <v>998</v>
      </c>
      <c r="E185" t="s">
        <v>999</v>
      </c>
      <c r="F185" t="s">
        <v>995</v>
      </c>
    </row>
    <row r="186" spans="1:6" x14ac:dyDescent="0.3">
      <c r="A186" t="s">
        <v>763</v>
      </c>
      <c r="B186" t="s">
        <v>1000</v>
      </c>
      <c r="C186" t="s">
        <v>1001</v>
      </c>
      <c r="D186" t="s">
        <v>996</v>
      </c>
      <c r="E186" t="s">
        <v>997</v>
      </c>
      <c r="F186" t="s">
        <v>995</v>
      </c>
    </row>
    <row r="187" spans="1:6" x14ac:dyDescent="0.3">
      <c r="A187" t="s">
        <v>763</v>
      </c>
      <c r="B187" t="s">
        <v>1002</v>
      </c>
      <c r="D187" t="s">
        <v>1003</v>
      </c>
      <c r="E187" t="s">
        <v>746</v>
      </c>
      <c r="F187" t="s">
        <v>866</v>
      </c>
    </row>
    <row r="188" spans="1:6" x14ac:dyDescent="0.3">
      <c r="A188" t="s">
        <v>763</v>
      </c>
      <c r="B188" t="s">
        <v>794</v>
      </c>
      <c r="D188" t="s">
        <v>1004</v>
      </c>
      <c r="E188" t="s">
        <v>1005</v>
      </c>
      <c r="F188" t="s">
        <v>866</v>
      </c>
    </row>
    <row r="189" spans="1:6" x14ac:dyDescent="0.3">
      <c r="A189" t="s">
        <v>763</v>
      </c>
      <c r="B189" t="s">
        <v>1006</v>
      </c>
      <c r="C189" t="s">
        <v>1007</v>
      </c>
      <c r="D189" t="s">
        <v>1008</v>
      </c>
      <c r="E189" t="s">
        <v>1009</v>
      </c>
      <c r="F189" t="s">
        <v>1010</v>
      </c>
    </row>
    <row r="190" spans="1:6" x14ac:dyDescent="0.3">
      <c r="A190" t="s">
        <v>763</v>
      </c>
      <c r="B190" t="s">
        <v>1011</v>
      </c>
      <c r="C190" t="s">
        <v>1012</v>
      </c>
      <c r="D190" t="s">
        <v>1013</v>
      </c>
      <c r="E190" t="s">
        <v>1014</v>
      </c>
      <c r="F190" t="s">
        <v>1015</v>
      </c>
    </row>
    <row r="191" spans="1:6" x14ac:dyDescent="0.3">
      <c r="A191" t="s">
        <v>763</v>
      </c>
      <c r="B191" t="s">
        <v>1016</v>
      </c>
      <c r="C191" t="s">
        <v>1017</v>
      </c>
      <c r="D191" t="s">
        <v>1018</v>
      </c>
      <c r="E191" t="s">
        <v>1019</v>
      </c>
      <c r="F191" t="s">
        <v>1020</v>
      </c>
    </row>
    <row r="192" spans="1:6" x14ac:dyDescent="0.3">
      <c r="A192" t="s">
        <v>763</v>
      </c>
      <c r="B192" t="s">
        <v>1021</v>
      </c>
      <c r="C192" t="s">
        <v>1022</v>
      </c>
      <c r="D192" t="s">
        <v>1023</v>
      </c>
      <c r="E192" t="s">
        <v>1024</v>
      </c>
      <c r="F192" t="s">
        <v>1025</v>
      </c>
    </row>
    <row r="193" spans="1:6" x14ac:dyDescent="0.3">
      <c r="A193" t="s">
        <v>763</v>
      </c>
      <c r="B193" t="s">
        <v>1026</v>
      </c>
      <c r="C193" t="s">
        <v>1027</v>
      </c>
      <c r="D193" t="s">
        <v>1028</v>
      </c>
      <c r="E193" t="s">
        <v>1029</v>
      </c>
      <c r="F193" t="s">
        <v>1030</v>
      </c>
    </row>
    <row r="194" spans="1:6" x14ac:dyDescent="0.3">
      <c r="A194" t="s">
        <v>763</v>
      </c>
      <c r="B194" t="s">
        <v>1031</v>
      </c>
      <c r="C194" t="s">
        <v>1032</v>
      </c>
      <c r="D194" t="s">
        <v>1033</v>
      </c>
      <c r="E194" t="s">
        <v>1034</v>
      </c>
      <c r="F194" t="s">
        <v>1030</v>
      </c>
    </row>
    <row r="195" spans="1:6" x14ac:dyDescent="0.3">
      <c r="A195" t="s">
        <v>763</v>
      </c>
      <c r="B195" t="s">
        <v>1035</v>
      </c>
      <c r="C195" t="s">
        <v>1036</v>
      </c>
      <c r="D195" t="s">
        <v>1037</v>
      </c>
      <c r="E195" t="s">
        <v>1038</v>
      </c>
      <c r="F195" t="s">
        <v>1030</v>
      </c>
    </row>
    <row r="196" spans="1:6" x14ac:dyDescent="0.3">
      <c r="A196" t="s">
        <v>763</v>
      </c>
      <c r="B196" t="s">
        <v>1039</v>
      </c>
      <c r="C196" t="s">
        <v>1040</v>
      </c>
      <c r="D196" t="s">
        <v>1041</v>
      </c>
      <c r="E196" t="s">
        <v>1042</v>
      </c>
      <c r="F196" t="s">
        <v>1043</v>
      </c>
    </row>
    <row r="197" spans="1:6" x14ac:dyDescent="0.3">
      <c r="A197" t="s">
        <v>763</v>
      </c>
      <c r="B197" t="s">
        <v>1044</v>
      </c>
      <c r="C197" t="s">
        <v>1045</v>
      </c>
      <c r="D197" t="s">
        <v>1046</v>
      </c>
      <c r="E197" t="s">
        <v>1047</v>
      </c>
      <c r="F197" t="s">
        <v>1048</v>
      </c>
    </row>
    <row r="198" spans="1:6" x14ac:dyDescent="0.3">
      <c r="A198" t="s">
        <v>763</v>
      </c>
      <c r="B198" t="s">
        <v>1049</v>
      </c>
      <c r="C198" t="s">
        <v>1050</v>
      </c>
      <c r="D198" t="s">
        <v>1051</v>
      </c>
      <c r="E198" t="s">
        <v>1052</v>
      </c>
      <c r="F198" t="s">
        <v>1053</v>
      </c>
    </row>
    <row r="199" spans="1:6" x14ac:dyDescent="0.3">
      <c r="A199" t="s">
        <v>763</v>
      </c>
      <c r="B199" t="s">
        <v>1054</v>
      </c>
      <c r="C199" t="s">
        <v>1055</v>
      </c>
      <c r="D199" t="s">
        <v>1056</v>
      </c>
      <c r="E199" t="s">
        <v>1057</v>
      </c>
      <c r="F199" t="s">
        <v>1058</v>
      </c>
    </row>
    <row r="200" spans="1:6" x14ac:dyDescent="0.3">
      <c r="A200" t="s">
        <v>763</v>
      </c>
      <c r="B200" t="s">
        <v>1059</v>
      </c>
      <c r="C200" t="s">
        <v>1060</v>
      </c>
      <c r="D200" t="s">
        <v>1061</v>
      </c>
      <c r="E200" t="s">
        <v>1062</v>
      </c>
      <c r="F200" t="s">
        <v>1063</v>
      </c>
    </row>
    <row r="201" spans="1:6" x14ac:dyDescent="0.3">
      <c r="A201" t="s">
        <v>763</v>
      </c>
      <c r="B201" t="s">
        <v>1064</v>
      </c>
      <c r="C201" t="s">
        <v>1065</v>
      </c>
      <c r="D201" t="s">
        <v>1066</v>
      </c>
      <c r="E201" t="s">
        <v>1067</v>
      </c>
      <c r="F201" t="s">
        <v>1068</v>
      </c>
    </row>
    <row r="202" spans="1:6" x14ac:dyDescent="0.3">
      <c r="A202" t="s">
        <v>763</v>
      </c>
      <c r="B202" t="s">
        <v>1069</v>
      </c>
      <c r="C202" t="s">
        <v>1070</v>
      </c>
      <c r="D202" t="s">
        <v>1064</v>
      </c>
      <c r="E202" t="s">
        <v>1065</v>
      </c>
      <c r="F202" t="s">
        <v>1068</v>
      </c>
    </row>
    <row r="203" spans="1:6" x14ac:dyDescent="0.3">
      <c r="A203" t="s">
        <v>763</v>
      </c>
      <c r="B203" t="s">
        <v>1071</v>
      </c>
      <c r="C203" t="s">
        <v>1072</v>
      </c>
      <c r="D203" t="s">
        <v>1073</v>
      </c>
      <c r="E203" t="s">
        <v>1074</v>
      </c>
      <c r="F203" t="s">
        <v>1075</v>
      </c>
    </row>
    <row r="204" spans="1:6" x14ac:dyDescent="0.3">
      <c r="A204" t="s">
        <v>763</v>
      </c>
      <c r="B204" t="s">
        <v>1076</v>
      </c>
      <c r="C204" t="s">
        <v>1077</v>
      </c>
      <c r="D204" t="s">
        <v>1071</v>
      </c>
      <c r="E204" t="s">
        <v>1072</v>
      </c>
      <c r="F204" t="s">
        <v>1075</v>
      </c>
    </row>
    <row r="205" spans="1:6" x14ac:dyDescent="0.3">
      <c r="A205" t="s">
        <v>763</v>
      </c>
      <c r="B205" t="s">
        <v>1078</v>
      </c>
      <c r="C205" t="s">
        <v>1079</v>
      </c>
      <c r="D205" t="s">
        <v>1080</v>
      </c>
      <c r="E205" t="s">
        <v>1081</v>
      </c>
      <c r="F205" t="s">
        <v>1082</v>
      </c>
    </row>
    <row r="206" spans="1:6" x14ac:dyDescent="0.3">
      <c r="A206" t="s">
        <v>763</v>
      </c>
      <c r="B206" t="s">
        <v>643</v>
      </c>
      <c r="C206" t="s">
        <v>644</v>
      </c>
      <c r="D206" t="s">
        <v>1083</v>
      </c>
      <c r="E206" t="s">
        <v>610</v>
      </c>
      <c r="F206" t="s">
        <v>1084</v>
      </c>
    </row>
    <row r="207" spans="1:6" x14ac:dyDescent="0.3">
      <c r="A207" t="s">
        <v>763</v>
      </c>
      <c r="B207" t="s">
        <v>1085</v>
      </c>
      <c r="C207" t="s">
        <v>1086</v>
      </c>
      <c r="D207" t="s">
        <v>1087</v>
      </c>
      <c r="E207" t="s">
        <v>1088</v>
      </c>
      <c r="F207" t="s">
        <v>1089</v>
      </c>
    </row>
    <row r="208" spans="1:6" x14ac:dyDescent="0.3">
      <c r="A208" t="s">
        <v>763</v>
      </c>
      <c r="B208" t="s">
        <v>1090</v>
      </c>
      <c r="C208" t="s">
        <v>1091</v>
      </c>
      <c r="D208" t="s">
        <v>1092</v>
      </c>
      <c r="E208" t="s">
        <v>1093</v>
      </c>
      <c r="F208" t="s">
        <v>1094</v>
      </c>
    </row>
    <row r="209" spans="1:6" x14ac:dyDescent="0.3">
      <c r="A209" t="s">
        <v>763</v>
      </c>
      <c r="B209" t="s">
        <v>1095</v>
      </c>
      <c r="C209" t="s">
        <v>1096</v>
      </c>
      <c r="D209" t="s">
        <v>1097</v>
      </c>
      <c r="E209" t="s">
        <v>1098</v>
      </c>
      <c r="F209" t="s">
        <v>1099</v>
      </c>
    </row>
    <row r="210" spans="1:6" x14ac:dyDescent="0.3">
      <c r="A210" t="s">
        <v>763</v>
      </c>
      <c r="B210" t="s">
        <v>1100</v>
      </c>
      <c r="C210" t="s">
        <v>1101</v>
      </c>
      <c r="D210" t="s">
        <v>1102</v>
      </c>
      <c r="E210" t="s">
        <v>1103</v>
      </c>
      <c r="F210" t="s">
        <v>1104</v>
      </c>
    </row>
    <row r="211" spans="1:6" x14ac:dyDescent="0.3">
      <c r="A211" t="s">
        <v>763</v>
      </c>
      <c r="B211" t="s">
        <v>1105</v>
      </c>
      <c r="C211" t="s">
        <v>1106</v>
      </c>
      <c r="D211" t="s">
        <v>1107</v>
      </c>
      <c r="E211" t="s">
        <v>1108</v>
      </c>
      <c r="F211" t="s">
        <v>1109</v>
      </c>
    </row>
    <row r="212" spans="1:6" x14ac:dyDescent="0.3">
      <c r="A212" t="s">
        <v>763</v>
      </c>
      <c r="B212" t="s">
        <v>1110</v>
      </c>
      <c r="C212" t="s">
        <v>1111</v>
      </c>
      <c r="D212" t="s">
        <v>1112</v>
      </c>
      <c r="E212" t="s">
        <v>1113</v>
      </c>
      <c r="F212" t="s">
        <v>1114</v>
      </c>
    </row>
    <row r="213" spans="1:6" x14ac:dyDescent="0.3">
      <c r="A213" t="s">
        <v>763</v>
      </c>
      <c r="B213" t="s">
        <v>1115</v>
      </c>
      <c r="C213" t="s">
        <v>1116</v>
      </c>
      <c r="D213" t="s">
        <v>1117</v>
      </c>
      <c r="E213" t="s">
        <v>1118</v>
      </c>
      <c r="F213" t="s">
        <v>1119</v>
      </c>
    </row>
    <row r="214" spans="1:6" x14ac:dyDescent="0.3">
      <c r="A214" t="s">
        <v>763</v>
      </c>
      <c r="B214" t="s">
        <v>1120</v>
      </c>
      <c r="C214" t="s">
        <v>1121</v>
      </c>
      <c r="D214" t="s">
        <v>1122</v>
      </c>
      <c r="E214" t="s">
        <v>1123</v>
      </c>
      <c r="F214" t="s">
        <v>1124</v>
      </c>
    </row>
    <row r="215" spans="1:6" x14ac:dyDescent="0.3">
      <c r="A215" t="s">
        <v>763</v>
      </c>
      <c r="B215" t="s">
        <v>1125</v>
      </c>
      <c r="D215" t="s">
        <v>1126</v>
      </c>
      <c r="E215" t="s">
        <v>1127</v>
      </c>
      <c r="F215" t="s">
        <v>1128</v>
      </c>
    </row>
    <row r="216" spans="1:6" x14ac:dyDescent="0.3">
      <c r="A216" t="s">
        <v>763</v>
      </c>
      <c r="B216" t="s">
        <v>1129</v>
      </c>
      <c r="C216" t="s">
        <v>1130</v>
      </c>
      <c r="D216" t="s">
        <v>1131</v>
      </c>
      <c r="E216" t="s">
        <v>1132</v>
      </c>
      <c r="F216" t="s">
        <v>1133</v>
      </c>
    </row>
    <row r="217" spans="1:6" x14ac:dyDescent="0.3">
      <c r="A217" t="s">
        <v>763</v>
      </c>
      <c r="B217" t="s">
        <v>1134</v>
      </c>
      <c r="C217" t="s">
        <v>1135</v>
      </c>
      <c r="D217" t="s">
        <v>1136</v>
      </c>
      <c r="E217" t="s">
        <v>1137</v>
      </c>
      <c r="F217" t="s">
        <v>1138</v>
      </c>
    </row>
    <row r="218" spans="1:6" x14ac:dyDescent="0.3">
      <c r="A218" t="s">
        <v>763</v>
      </c>
      <c r="B218" t="s">
        <v>1139</v>
      </c>
      <c r="C218" t="s">
        <v>1140</v>
      </c>
      <c r="D218" t="s">
        <v>1141</v>
      </c>
      <c r="E218" t="s">
        <v>1142</v>
      </c>
      <c r="F218" t="s">
        <v>1143</v>
      </c>
    </row>
    <row r="219" spans="1:6" x14ac:dyDescent="0.3">
      <c r="A219" t="s">
        <v>763</v>
      </c>
      <c r="B219" t="s">
        <v>567</v>
      </c>
      <c r="C219" t="s">
        <v>568</v>
      </c>
      <c r="D219" t="s">
        <v>1144</v>
      </c>
      <c r="E219" t="s">
        <v>1145</v>
      </c>
      <c r="F219" t="s">
        <v>1146</v>
      </c>
    </row>
    <row r="220" spans="1:6" x14ac:dyDescent="0.3">
      <c r="A220" t="s">
        <v>763</v>
      </c>
      <c r="B220" t="s">
        <v>1147</v>
      </c>
      <c r="C220" t="s">
        <v>1148</v>
      </c>
      <c r="D220" t="s">
        <v>1149</v>
      </c>
      <c r="E220" t="s">
        <v>1150</v>
      </c>
      <c r="F220" t="s">
        <v>783</v>
      </c>
    </row>
    <row r="221" spans="1:6" x14ac:dyDescent="0.3">
      <c r="A221" t="s">
        <v>763</v>
      </c>
      <c r="B221" t="s">
        <v>1151</v>
      </c>
      <c r="C221" t="s">
        <v>1152</v>
      </c>
      <c r="D221" t="s">
        <v>1147</v>
      </c>
      <c r="E221" t="s">
        <v>1148</v>
      </c>
      <c r="F221" t="s">
        <v>783</v>
      </c>
    </row>
    <row r="222" spans="1:6" x14ac:dyDescent="0.3">
      <c r="A222" t="s">
        <v>763</v>
      </c>
      <c r="B222" t="s">
        <v>1153</v>
      </c>
      <c r="C222" t="s">
        <v>1154</v>
      </c>
      <c r="D222" t="s">
        <v>1151</v>
      </c>
      <c r="E222" t="s">
        <v>1152</v>
      </c>
      <c r="F222" t="s">
        <v>783</v>
      </c>
    </row>
    <row r="223" spans="1:6" x14ac:dyDescent="0.3">
      <c r="A223" t="s">
        <v>763</v>
      </c>
      <c r="B223" t="s">
        <v>1155</v>
      </c>
      <c r="C223" t="s">
        <v>1156</v>
      </c>
      <c r="D223" t="s">
        <v>1153</v>
      </c>
      <c r="E223" t="s">
        <v>1154</v>
      </c>
      <c r="F223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all_hits_drugs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Blayvas, David</cp:lastModifiedBy>
  <dcterms:created xsi:type="dcterms:W3CDTF">2025-12-02T04:19:10Z</dcterms:created>
  <dcterms:modified xsi:type="dcterms:W3CDTF">2025-12-02T10:48:15Z</dcterms:modified>
</cp:coreProperties>
</file>